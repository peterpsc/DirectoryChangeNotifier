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drawings/drawing10.xml" ContentType="application/vnd.openxmlformats-officedocument.drawing+xml"/>
  <Override PartName="/xl/drawings/drawing32.xml" ContentType="application/vnd.openxmlformats-officedocument.drawing+xml"/>
  <Override PartName="/xl/drawings/drawing1.xml" ContentType="application/vnd.openxmlformats-officedocument.drawing+xml"/>
  <Override PartName="/xl/drawings/drawing9.xml" ContentType="application/vnd.openxmlformats-officedocument.drawing+xml"/>
  <Override PartName="/xl/drawings/drawing11.xml" ContentType="application/vnd.openxmlformats-officedocument.drawing+xml"/>
  <Override PartName="/xl/drawings/vmlDrawing1.vml" ContentType="application/vnd.openxmlformats-officedocument.vmlDrawing"/>
  <Override PartName="/xl/drawings/drawing8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vmlDrawing2.vml" ContentType="application/vnd.openxmlformats-officedocument.vmlDrawing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book.xml" ContentType="application/vnd.ms-excel.sheet.macroEnabled.main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ontents" sheetId="1" state="visible" r:id="rId4"/>
    <sheet name="CONTACT_INFO_1" sheetId="2" state="visible" r:id="rId5"/>
    <sheet name="PRIMARY_ACCOUNT_2a" sheetId="3" state="visible" r:id="rId6"/>
    <sheet name="SECONDARY_ACCOUNTS_2b" sheetId="4" state="visible" r:id="rId7"/>
    <sheet name="BALANCE_3" sheetId="5" state="visible" r:id="rId8"/>
    <sheet name="INCOME_4" sheetId="6" state="visible" r:id="rId9"/>
    <sheet name="ASSET_DTL_5a" sheetId="7" state="visible" r:id="rId10"/>
    <sheet name="LIABILITY_DTL_5b" sheetId="8" state="visible" r:id="rId11"/>
    <sheet name="INVENTORY_DTL_6" sheetId="9" state="visible" r:id="rId12"/>
    <sheet name="REGALIA_SALES_DTL_7" sheetId="10" state="visible" r:id="rId13"/>
    <sheet name="DEPR_DTL_8" sheetId="11" state="visible" r:id="rId14"/>
    <sheet name="TRANSFER_IN_9" sheetId="12" state="visible" r:id="rId15"/>
    <sheet name="TRANSFER_OUT_10" sheetId="13" state="visible" r:id="rId16"/>
    <sheet name="INCOME_DTL_11a" sheetId="14" state="visible" r:id="rId17"/>
    <sheet name="INCOME_DTL_11b" sheetId="15" state="visible" r:id="rId18"/>
    <sheet name="INCOME_DTL_11c" sheetId="16" state="visible" r:id="rId19"/>
    <sheet name="EXPENSE_DTL_12a" sheetId="17" state="visible" r:id="rId20"/>
    <sheet name="EXPENSE_DTL_12b" sheetId="18" state="visible" r:id="rId21"/>
    <sheet name="FINANCE_COMM_13" sheetId="19" state="visible" r:id="rId22"/>
    <sheet name="FUNDS_14" sheetId="20" state="visible" r:id="rId23"/>
    <sheet name="NEWSLETTER_15" sheetId="21" state="visible" r:id="rId24"/>
    <sheet name="COMMENTS" sheetId="22" state="visible" r:id="rId25"/>
    <sheet name="SECONDARY_ACCOUNTS_2c" sheetId="23" state="visible" r:id="rId26"/>
    <sheet name="SECONDARY_ACCOUNTS_2d" sheetId="24" state="visible" r:id="rId27"/>
    <sheet name="ASSET_DTL_5c" sheetId="25" state="visible" r:id="rId28"/>
    <sheet name="LIABILITY_DTL_5d" sheetId="26" state="visible" r:id="rId29"/>
    <sheet name="INVENTORY_DTL_6b" sheetId="27" state="visible" r:id="rId30"/>
    <sheet name="REGALIA_SALES_DTL_7b" sheetId="28" state="visible" r:id="rId31"/>
    <sheet name="DEPR_DTL_8b" sheetId="29" state="visible" r:id="rId32"/>
    <sheet name="DEPR_DTL_8c" sheetId="30" state="visible" r:id="rId33"/>
    <sheet name="TRANSFER_IN_9b" sheetId="31" state="visible" r:id="rId34"/>
    <sheet name="TRANSFER_IN_9c" sheetId="32" state="visible" r:id="rId35"/>
    <sheet name="TRANSFER_IN_9d" sheetId="33" state="visible" r:id="rId36"/>
    <sheet name="TRANSFER_OUT_10b" sheetId="34" state="visible" r:id="rId37"/>
    <sheet name="TRANSFER_OUT_10c" sheetId="35" state="visible" r:id="rId38"/>
    <sheet name="TRANSFER_OUT_10d" sheetId="36" state="visible" r:id="rId39"/>
    <sheet name="FreeForm" sheetId="37" state="visible" r:id="rId40"/>
  </sheets>
  <definedNames>
    <definedName function="false" hidden="false" localSheetId="6" name="_xlnm.Print_Area" vbProcedure="false">ASSET_DTL_5a!$C$2:$G$63</definedName>
    <definedName function="false" hidden="false" localSheetId="24" name="_xlnm.Print_Area" vbProcedure="false">ASSET_DTL_5c!$C$2:$F$61</definedName>
    <definedName function="false" hidden="false" localSheetId="4" name="_xlnm.Print_Area" vbProcedure="false">BALANCE_3!$C$2:$I$45</definedName>
    <definedName function="false" hidden="false" localSheetId="21" name="_xlnm.Print_Area" vbProcedure="false">COMMENTS!$C$2:$C$33</definedName>
    <definedName function="false" hidden="false" localSheetId="1" name="_xlnm.Print_Area" vbProcedure="false">CONTACT_INFO_1!$C$2:$H$37</definedName>
    <definedName function="false" hidden="false" localSheetId="0" name="_xlnm.Print_Area" vbProcedure="false">Contents!$E$2:$G$55</definedName>
    <definedName function="false" hidden="false" localSheetId="10" name="_xlnm.Print_Area" vbProcedure="false">DEPR_DTL_8!$D$2:$M$51</definedName>
    <definedName function="false" hidden="false" localSheetId="28" name="_xlnm.Print_Area" vbProcedure="false">DEPR_DTL_8b!$D$2:$M$56</definedName>
    <definedName function="false" hidden="false" localSheetId="29" name="_xlnm.Print_Area" vbProcedure="false">DEPR_DTL_8c!$D$2:$M$56</definedName>
    <definedName function="false" hidden="false" localSheetId="16" name="_xlnm.Print_Area" vbProcedure="false">EXPENSE_DTL_12a!$C$2:$F$57</definedName>
    <definedName function="false" hidden="false" localSheetId="17" name="_xlnm.Print_Area" vbProcedure="false">EXPENSE_DTL_12b!$C$2:$I$58</definedName>
    <definedName function="false" hidden="false" localSheetId="18" name="_xlnm.Print_Area" vbProcedure="false">FINANCE_COMM_13!$C$2:$F$56</definedName>
    <definedName function="false" hidden="false" localSheetId="19" name="_xlnm.Print_Area" vbProcedure="false">FUNDS_14!$C$2:$F$58</definedName>
    <definedName function="false" hidden="false" localSheetId="5" name="_xlnm.Print_Area" vbProcedure="false">INCOME_4!$C$2:$J$52</definedName>
    <definedName function="false" hidden="false" localSheetId="13" name="_xlnm.Print_Area" vbProcedure="false">INCOME_DTL_11a!$C$2:$E$54</definedName>
    <definedName function="false" hidden="false" localSheetId="14" name="_xlnm.Print_Area" vbProcedure="false">INCOME_DTL_11b!$C$2:$G$58</definedName>
    <definedName function="false" hidden="false" localSheetId="15" name="_xlnm.Print_Area" vbProcedure="false">INCOME_DTL_11c!$C$2:$G$82</definedName>
    <definedName function="false" hidden="false" localSheetId="8" name="_xlnm.Print_Area" vbProcedure="false">INVENTORY_DTL_6!$C$2:$M$33</definedName>
    <definedName function="false" hidden="false" localSheetId="26" name="_xlnm.Print_Area" vbProcedure="false">INVENTORY_DTL_6b!$C$2:$M$33</definedName>
    <definedName function="false" hidden="false" localSheetId="7" name="_xlnm.Print_Area" vbProcedure="false">LIABILITY_DTL_5b!$C$2:$F$59</definedName>
    <definedName function="false" hidden="false" localSheetId="25" name="_xlnm.Print_Area" vbProcedure="false">LIABILITY_DTL_5d!$C$2:$F$59</definedName>
    <definedName function="false" hidden="false" localSheetId="20" name="_xlnm.Print_Area" vbProcedure="false">NEWSLETTER_15!$C$2:$I$60</definedName>
    <definedName function="false" hidden="false" localSheetId="2" name="_xlnm.Print_Area" vbProcedure="false">PRIMARY_ACCOUNT_2a!$C$2:$H$57</definedName>
    <definedName function="false" hidden="false" localSheetId="9" name="_xlnm.Print_Area" vbProcedure="false">REGALIA_SALES_DTL_7!$C$2:$I$56</definedName>
    <definedName function="false" hidden="false" localSheetId="27" name="_xlnm.Print_Area" vbProcedure="false">REGALIA_SALES_DTL_7b!$C$2:$I$56</definedName>
    <definedName function="false" hidden="false" localSheetId="3" name="_xlnm.Print_Area" vbProcedure="false">SECONDARY_ACCOUNTS_2b!$C$2:$I$46</definedName>
    <definedName function="false" hidden="false" localSheetId="22" name="_xlnm.Print_Area" vbProcedure="false">SECONDARY_ACCOUNTS_2c!$C$2:$I$46</definedName>
    <definedName function="false" hidden="false" localSheetId="23" name="_xlnm.Print_Area" vbProcedure="false">SECONDARY_ACCOUNTS_2d!$C$2:$I$46</definedName>
    <definedName function="false" hidden="false" localSheetId="11" name="_xlnm.Print_Area" vbProcedure="false">TRANSFER_IN_9!$C$2:$F$59</definedName>
    <definedName function="false" hidden="false" localSheetId="30" name="_xlnm.Print_Area" vbProcedure="false">TRANSFER_IN_9b!$C$2:$F$55</definedName>
    <definedName function="false" hidden="false" localSheetId="31" name="_xlnm.Print_Area" vbProcedure="false">TRANSFER_IN_9c!$C$2:$F$55</definedName>
    <definedName function="false" hidden="false" localSheetId="32" name="_xlnm.Print_Area" vbProcedure="false">TRANSFER_IN_9d!$C$2:$F$56</definedName>
    <definedName function="false" hidden="false" localSheetId="12" name="_xlnm.Print_Area" vbProcedure="false">TRANSFER_OUT_10!$C$2:$F$54</definedName>
    <definedName function="false" hidden="false" localSheetId="33" name="_xlnm.Print_Area" vbProcedure="false">TRANSFER_OUT_10b!$C$2:$F$55</definedName>
    <definedName function="false" hidden="false" localSheetId="34" name="_xlnm.Print_Area" vbProcedure="false">TRANSFER_OUT_10c!$C$2:$F$55</definedName>
    <definedName function="false" hidden="false" localSheetId="35" name="_xlnm.Print_Area" vbProcedure="false">TRANSFER_OUT_10d!$C$2:$F$55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3.xml><?xml version="1.0" encoding="utf-8"?>
<comments xmlns="http://schemas.openxmlformats.org/spreadsheetml/2006/main" xmlns:xdr="http://schemas.openxmlformats.org/drawingml/2006/spreadsheetDrawing">
  <authors>
    <author>Susan Earley</author>
  </authors>
  <commentList>
    <comment ref="F38" authorId="0">
      <text>
        <r>
          <rPr>
            <sz val="10"/>
            <rFont val="Arial"/>
            <family val="2"/>
          </rPr>
          <t xml:space="preserve">Enter YES here if the account earns interest.
</t>
        </r>
        <r>
          <rPr>
            <b val="true"/>
            <sz val="8"/>
            <color rgb="FF000000"/>
            <rFont val="Tahoma"/>
            <family val="2"/>
            <charset val="1"/>
          </rPr>
          <t xml:space="preserve">Otherwise, enter NO.</t>
        </r>
      </text>
    </comment>
  </commentList>
</comments>
</file>

<file path=xl/sharedStrings.xml><?xml version="1.0" encoding="utf-8"?>
<sst xmlns="http://schemas.openxmlformats.org/spreadsheetml/2006/main" count="7150" uniqueCount="971">
  <si>
    <r>
      <rPr>
        <b val="true"/>
        <sz val="10"/>
        <rFont val="Garamond"/>
        <family val="1"/>
        <charset val="1"/>
      </rPr>
      <t xml:space="preserve">OpenOffice users</t>
    </r>
    <r>
      <rPr>
        <sz val="10"/>
        <rFont val="Garamond"/>
        <family val="1"/>
        <charset val="1"/>
      </rPr>
      <t xml:space="preserve">: Please use OpenOffice 3.1 or later. 
To enable macros in Open Office: Set the “Executable Code” &amp; "Save original Basic Code" check-boxes under: 
Tools | Options | Load/Save | VBA Properties.                     
Help is available at </t>
    </r>
    <r>
      <rPr>
        <u val="single"/>
        <sz val="10"/>
        <rFont val="Garamond"/>
        <family val="1"/>
        <charset val="1"/>
      </rPr>
      <t xml:space="preserve">http://antir.sca.org/Offices/Exchequers/OO/index.php</t>
    </r>
  </si>
  <si>
    <t xml:space="preserve">FINANCIAL REPORT</t>
  </si>
  <si>
    <t xml:space="preserve">Cells in Blue are editable. All other cells are locked.</t>
  </si>
  <si>
    <t xml:space="preserve">Fill in the data in the box below. Some formulas require this data to calculate properly. </t>
  </si>
  <si>
    <t xml:space="preserve">CONTENTS</t>
  </si>
  <si>
    <t xml:space="preserve">Table of Contents</t>
  </si>
  <si>
    <t xml:space="preserve">REQUIRED</t>
  </si>
  <si>
    <t xml:space="preserve">Name of Branch</t>
  </si>
  <si>
    <t xml:space="preserve">SCA, Inc.- Middle Kingdom</t>
  </si>
  <si>
    <t xml:space="preserve">1. CONTACT INFO</t>
  </si>
  <si>
    <t xml:space="preserve">Seneschal Name</t>
  </si>
  <si>
    <t xml:space="preserve">Lisa Gray</t>
  </si>
  <si>
    <t xml:space="preserve">2.a PRIMARY ACCOUNT</t>
  </si>
  <si>
    <t xml:space="preserve">Exchequer Name</t>
  </si>
  <si>
    <t xml:space="preserve">David Young</t>
  </si>
  <si>
    <t xml:space="preserve">2.b SECONDARY ACCOUNTS</t>
  </si>
  <si>
    <t xml:space="preserve">Year (yyyy)</t>
  </si>
  <si>
    <t xml:space="preserve">3. BALANCE</t>
  </si>
  <si>
    <t xml:space="preserve">Quarter (1,2,3,4)</t>
  </si>
  <si>
    <t xml:space="preserve">4. INCOME</t>
  </si>
  <si>
    <t xml:space="preserve">Income Statement</t>
  </si>
  <si>
    <t xml:space="preserve">Quarter Type (Cumulative)</t>
  </si>
  <si>
    <t xml:space="preserve">Cumulative</t>
  </si>
  <si>
    <t xml:space="preserve">5.a ASSET DTL</t>
  </si>
  <si>
    <t xml:space="preserve">Asset Detail</t>
  </si>
  <si>
    <t xml:space="preserve">Currency Type</t>
  </si>
  <si>
    <t xml:space="preserve">USD $</t>
  </si>
  <si>
    <t xml:space="preserve">5.b LIABILITY DTL</t>
  </si>
  <si>
    <t xml:space="preserve">Liability Detail</t>
  </si>
  <si>
    <t xml:space="preserve">Corporate or Which State Subsidiary</t>
  </si>
  <si>
    <t xml:space="preserve">Corporate</t>
  </si>
  <si>
    <t xml:space="preserve">6. INVENTORY DTL</t>
  </si>
  <si>
    <t xml:space="preserve">Inventory Detail</t>
  </si>
  <si>
    <t xml:space="preserve">Cumulative always starts from January 1. If this report is for the enire year, enter 4 for the Quarter.</t>
  </si>
  <si>
    <t xml:space="preserve">7. REGALIA SALES DTL</t>
  </si>
  <si>
    <t xml:space="preserve">Regalia &amp; Other Sales Detail</t>
  </si>
  <si>
    <t xml:space="preserve">8. DEPRECIATION DTL</t>
  </si>
  <si>
    <t xml:space="preserve">Depreciation Detail</t>
  </si>
  <si>
    <t xml:space="preserve">9. TRANSFER IN</t>
  </si>
  <si>
    <t xml:space="preserve">Transfer Income Detail</t>
  </si>
  <si>
    <r>
      <rPr>
        <u val="single"/>
        <sz val="11"/>
        <rFont val="Garamond"/>
        <family val="1"/>
        <charset val="1"/>
      </rPr>
      <t xml:space="preserve">For </t>
    </r>
    <r>
      <rPr>
        <b val="true"/>
        <u val="single"/>
        <sz val="11"/>
        <rFont val="Garamond"/>
        <family val="1"/>
        <charset val="1"/>
      </rPr>
      <t xml:space="preserve">Year-end </t>
    </r>
    <r>
      <rPr>
        <u val="single"/>
        <sz val="11"/>
        <rFont val="Garamond"/>
        <family val="1"/>
        <charset val="1"/>
      </rPr>
      <t xml:space="preserve">Reports</t>
    </r>
    <r>
      <rPr>
        <sz val="11"/>
        <rFont val="Garamond"/>
        <family val="1"/>
        <charset val="1"/>
      </rPr>
      <t xml:space="preserve">, you </t>
    </r>
    <r>
      <rPr>
        <b val="true"/>
        <sz val="11"/>
        <rFont val="Garamond"/>
        <family val="1"/>
        <charset val="1"/>
      </rPr>
      <t xml:space="preserve">must</t>
    </r>
    <r>
      <rPr>
        <sz val="11"/>
        <rFont val="Garamond"/>
        <family val="1"/>
        <charset val="1"/>
      </rPr>
      <t xml:space="preserve"> deliver a copy of this report to your superior officer, along with a copy of the ending bank statement and general ledger/check register. The preferred method is electronically via email. </t>
    </r>
  </si>
  <si>
    <t xml:space="preserve">10. TRANSFER OUT</t>
  </si>
  <si>
    <t xml:space="preserve">Transfer Expense Detail</t>
  </si>
  <si>
    <t xml:space="preserve">11.a INCOME DTL</t>
  </si>
  <si>
    <t xml:space="preserve">Income Detail Part 1</t>
  </si>
  <si>
    <t xml:space="preserve">Some Kingdoms may require additional documents. </t>
  </si>
  <si>
    <t xml:space="preserve">11.b INCOME DTL</t>
  </si>
  <si>
    <t xml:space="preserve">Income Detail Part 2</t>
  </si>
  <si>
    <t xml:space="preserve">Whether sent by paper or electronically for the first 3 quarter reports:</t>
  </si>
  <si>
    <t xml:space="preserve">11.c INCOME DTL</t>
  </si>
  <si>
    <t xml:space="preserve">Income Detail Part 3</t>
  </si>
  <si>
    <r>
      <rPr>
        <sz val="11"/>
        <rFont val="Garamond"/>
        <family val="1"/>
        <charset val="1"/>
      </rPr>
      <t xml:space="preserve">Pages 1-4 </t>
    </r>
    <r>
      <rPr>
        <b val="true"/>
        <sz val="11"/>
        <rFont val="Garamond"/>
        <family val="1"/>
        <charset val="1"/>
      </rPr>
      <t xml:space="preserve">must</t>
    </r>
    <r>
      <rPr>
        <sz val="11"/>
        <rFont val="Garamond"/>
        <family val="1"/>
        <charset val="1"/>
      </rPr>
      <t xml:space="preserve"> be completed, printed, signed, and submitted with a copy of the bank statement(s) </t>
    </r>
  </si>
  <si>
    <t xml:space="preserve">12.a EXPENSE DTL</t>
  </si>
  <si>
    <t xml:space="preserve">Expense Detail Part 1</t>
  </si>
  <si>
    <r>
      <rPr>
        <sz val="11"/>
        <rFont val="Garamond"/>
        <family val="1"/>
        <charset val="1"/>
      </rPr>
      <t xml:space="preserve">and workbook pages </t>
    </r>
    <r>
      <rPr>
        <b val="true"/>
        <sz val="11"/>
        <rFont val="Garamond"/>
        <family val="1"/>
        <charset val="1"/>
      </rPr>
      <t xml:space="preserve">according to Kingdom Policy</t>
    </r>
    <r>
      <rPr>
        <sz val="11"/>
        <rFont val="Garamond"/>
        <family val="1"/>
        <charset val="1"/>
      </rPr>
      <t xml:space="preserve">. </t>
    </r>
  </si>
  <si>
    <t xml:space="preserve">12.b EXPENSE DTL</t>
  </si>
  <si>
    <t xml:space="preserve">Expense Detail Part 2</t>
  </si>
  <si>
    <t xml:space="preserve">All financial reports, bank statements and backup documentation must be kept for 7 years by either</t>
  </si>
  <si>
    <t xml:space="preserve">13. FINANCE COMM</t>
  </si>
  <si>
    <t xml:space="preserve">paper copy or stored electronically with a minimum of one backup copy. </t>
  </si>
  <si>
    <t xml:space="preserve">14. FUNDS</t>
  </si>
  <si>
    <t xml:space="preserve">15. NEWSLETTER</t>
  </si>
  <si>
    <t xml:space="preserve">Newsletter Income Detail</t>
  </si>
  <si>
    <t xml:space="preserve">Please complete the Financial Committee Information page!</t>
  </si>
  <si>
    <t xml:space="preserve">COMMENTS</t>
  </si>
  <si>
    <t xml:space="preserve">Comments</t>
  </si>
  <si>
    <t xml:space="preserve">ADDITIONAL WORKSHEETS</t>
  </si>
  <si>
    <t xml:space="preserve">noprint</t>
  </si>
  <si>
    <t xml:space="preserve">2.c SECONDARY ACCOUNTS</t>
  </si>
  <si>
    <t xml:space="preserve">2.d SECONDARY ACCOUNTS</t>
  </si>
  <si>
    <t xml:space="preserve">5.c ASSET DTL</t>
  </si>
  <si>
    <t xml:space="preserve">Print buttons send individual pages to the default or currently selected printer. </t>
  </si>
  <si>
    <t xml:space="preserve">Pages 5+ will not print where no data is entered.</t>
  </si>
  <si>
    <t xml:space="preserve">Email bugs and comments here!</t>
  </si>
  <si>
    <t xml:space="preserve">locked</t>
  </si>
  <si>
    <t xml:space="preserve">LARGE</t>
  </si>
  <si>
    <t xml:space="preserve">6.b INVENTORY DTL</t>
  </si>
  <si>
    <t xml:space="preserve">LOCAL</t>
  </si>
  <si>
    <t xml:space="preserve">7.b REGALIA SALES DTL</t>
  </si>
  <si>
    <t xml:space="preserve">8.b DEPR DTL</t>
  </si>
  <si>
    <t xml:space="preserve">Depreciation Detail - 5 year</t>
  </si>
  <si>
    <t xml:space="preserve">8.c DEPR DTL</t>
  </si>
  <si>
    <t xml:space="preserve">Depreciation Detail - 7 year</t>
  </si>
  <si>
    <t xml:space="preserve">9.b TRANSFER IN</t>
  </si>
  <si>
    <t xml:space="preserve">Transfer Income</t>
  </si>
  <si>
    <t xml:space="preserve">9.c TRANSFER IN</t>
  </si>
  <si>
    <t xml:space="preserve">9.d TRANSFER IN</t>
  </si>
  <si>
    <t xml:space="preserve">10.b TRANSFER OUT</t>
  </si>
  <si>
    <t xml:space="preserve">Transfer Expense</t>
  </si>
  <si>
    <t xml:space="preserve">10.c TRANSFER OUT</t>
  </si>
  <si>
    <t xml:space="preserve">10.d TRANSFER OUT</t>
  </si>
  <si>
    <t xml:space="preserve">FREE FORM</t>
  </si>
  <si>
    <t xml:space="preserve">Unlocked Worksheet for other information (ledgers, etc.)</t>
  </si>
  <si>
    <t xml:space="preserve">Make sure that all pages marked 'REQUIRED' are submitted and filed.</t>
  </si>
  <si>
    <t xml:space="preserve">Variables</t>
  </si>
  <si>
    <t xml:space="preserve">AS L 6</t>
  </si>
  <si>
    <t xml:space="preserve">CDN $</t>
  </si>
  <si>
    <t xml:space="preserve">EURO €</t>
  </si>
  <si>
    <t xml:space="preserve">Start Month #</t>
  </si>
  <si>
    <t xml:space="preserve">unlocked</t>
  </si>
  <si>
    <t xml:space="preserve">U.K. £</t>
  </si>
  <si>
    <t xml:space="preserve">End Month #</t>
  </si>
  <si>
    <t xml:space="preserve">pdf</t>
  </si>
  <si>
    <t xml:space="preserve">ICELAND kr.</t>
  </si>
  <si>
    <t xml:space="preserve">Start Month $</t>
  </si>
  <si>
    <t xml:space="preserve">S.African R</t>
  </si>
  <si>
    <t xml:space="preserve">End Month $</t>
  </si>
  <si>
    <t xml:space="preserve">Romanian leu</t>
  </si>
  <si>
    <t xml:space="preserve">Year $</t>
  </si>
  <si>
    <t xml:space="preserve">Swiss SFr.</t>
  </si>
  <si>
    <t xml:space="preserve">End Day $</t>
  </si>
  <si>
    <t xml:space="preserve">Israel ₪</t>
  </si>
  <si>
    <t xml:space="preserve">Branch $</t>
  </si>
  <si>
    <t xml:space="preserve">Branch: </t>
  </si>
  <si>
    <t xml:space="preserve">Period $</t>
  </si>
  <si>
    <t xml:space="preserve">                                                                        Period:  </t>
  </si>
  <si>
    <t xml:space="preserve">MEDIUM</t>
  </si>
  <si>
    <t xml:space="preserve">To $</t>
  </si>
  <si>
    <t xml:space="preserve">             to     </t>
  </si>
  <si>
    <t xml:space="preserve">MASTER</t>
  </si>
  <si>
    <t xml:space="preserve">SMALL</t>
  </si>
  <si>
    <t xml:space="preserve">EOL $</t>
  </si>
  <si>
    <t xml:space="preserve">            .</t>
  </si>
  <si>
    <t xml:space="preserve">PAYPAL</t>
  </si>
  <si>
    <t xml:space="preserve">Trimmed Period $</t>
  </si>
  <si>
    <t xml:space="preserve">CONTACT INFO</t>
  </si>
  <si>
    <t xml:space="preserve">PRIMARY ACCT</t>
  </si>
  <si>
    <t xml:space="preserve">SECONDARY ACCT</t>
  </si>
  <si>
    <t xml:space="preserve">FINANCE COMMITTEE</t>
  </si>
  <si>
    <t xml:space="preserve">SECONDARY ACCT 2</t>
  </si>
  <si>
    <t xml:space="preserve">SECONDARY ACCT 3</t>
  </si>
  <si>
    <t xml:space="preserve">PayPal</t>
  </si>
  <si>
    <t xml:space="preserve">Non-US</t>
  </si>
  <si>
    <t xml:space="preserve">SCARS</t>
  </si>
  <si>
    <t xml:space="preserve">Illinois</t>
  </si>
  <si>
    <t xml:space="preserve">Maine</t>
  </si>
  <si>
    <t xml:space="preserve">Maryland</t>
  </si>
  <si>
    <t xml:space="preserve">Massachusetts</t>
  </si>
  <si>
    <t xml:space="preserve">Michigan</t>
  </si>
  <si>
    <t xml:space="preserve">Minnesota</t>
  </si>
  <si>
    <t xml:space="preserve">Mississippi</t>
  </si>
  <si>
    <t xml:space="preserve">New Hampshire</t>
  </si>
  <si>
    <t xml:space="preserve">New Jersey</t>
  </si>
  <si>
    <t xml:space="preserve">New York</t>
  </si>
  <si>
    <t xml:space="preserve">Pennsic War</t>
  </si>
  <si>
    <t xml:space="preserve">Pennsylvania</t>
  </si>
  <si>
    <t xml:space="preserve">Rhode Island</t>
  </si>
  <si>
    <t xml:space="preserve">Tennessee</t>
  </si>
  <si>
    <t xml:space="preserve">West Virginia</t>
  </si>
  <si>
    <t xml:space="preserve">Wisconsin</t>
  </si>
  <si>
    <t xml:space="preserve">Gulf Wars</t>
  </si>
  <si>
    <t xml:space="preserve">CHANCELLOR OF THE EXCHEQUER CONTACT INFORMATION</t>
  </si>
  <si>
    <t xml:space="preserve">Warrant End Date:</t>
  </si>
  <si>
    <t xml:space="preserve">5/31/26</t>
  </si>
  <si>
    <t xml:space="preserve">Legal Name:</t>
  </si>
  <si>
    <t xml:space="preserve">Street Address:</t>
  </si>
  <si>
    <t xml:space="preserve">308 Hillview Lane</t>
  </si>
  <si>
    <t xml:space="preserve">City:</t>
  </si>
  <si>
    <t xml:space="preserve">Shepherdsville</t>
  </si>
  <si>
    <t xml:space="preserve">State or
Province:</t>
  </si>
  <si>
    <t xml:space="preserve">KY</t>
  </si>
  <si>
    <t xml:space="preserve">Zip or
Postal Code:</t>
  </si>
  <si>
    <t xml:space="preserve">40165</t>
  </si>
  <si>
    <t xml:space="preserve">Home
Telephone:        </t>
  </si>
  <si>
    <t xml:space="preserve">502-751-8405</t>
  </si>
  <si>
    <t xml:space="preserve">Alternate 
Phone:</t>
  </si>
  <si>
    <t xml:space="preserve">Internet or E-mail Address 
(Required if available): </t>
  </si>
  <si>
    <t xml:space="preserve">exchequer@midrealm.org</t>
  </si>
  <si>
    <t xml:space="preserve">Membership #:</t>
  </si>
  <si>
    <t xml:space="preserve">SCA Name:</t>
  </si>
  <si>
    <t xml:space="preserve">Aidan Blackstone</t>
  </si>
  <si>
    <t xml:space="preserve">Exp. Date:</t>
  </si>
  <si>
    <t xml:space="preserve">Mailing address (IF NOT THE SAME AS ABOVE):</t>
  </si>
  <si>
    <t xml:space="preserve">PO Box/Address:</t>
  </si>
  <si>
    <t xml:space="preserve">5.d LIABILITY DTL</t>
  </si>
  <si>
    <t xml:space="preserve">Deputy for:</t>
  </si>
  <si>
    <t xml:space="preserve">Exchequer, Emergency</t>
  </si>
  <si>
    <t xml:space="preserve">5.e LIABILITY DTL</t>
  </si>
  <si>
    <t xml:space="preserve">5.f LIABILITY DTL</t>
  </si>
  <si>
    <t xml:space="preserve">5.g LIABILITY DTL</t>
  </si>
  <si>
    <t xml:space="preserve">5.h LIABILITY DTL</t>
  </si>
  <si>
    <t xml:space="preserve">5.i LIABILITY DTL</t>
  </si>
  <si>
    <t xml:space="preserve">PayPal/SCA-rs</t>
  </si>
  <si>
    <t xml:space="preserve">Teresa Way</t>
  </si>
  <si>
    <t xml:space="preserve">4857 Columbia Rd. Apt. 204</t>
  </si>
  <si>
    <t xml:space="preserve">North Olmstead</t>
  </si>
  <si>
    <t xml:space="preserve">OH</t>
  </si>
  <si>
    <t xml:space="preserve">44070</t>
  </si>
  <si>
    <t xml:space="preserve">440-503-5466</t>
  </si>
  <si>
    <t xml:space="preserve">epay@midrealm.org</t>
  </si>
  <si>
    <t xml:space="preserve">Brangwayn Snowden</t>
  </si>
  <si>
    <t xml:space="preserve">-1-</t>
  </si>
  <si>
    <t xml:space="preserve">12.c EXPENSE DETAIL</t>
  </si>
  <si>
    <t xml:space="preserve">PRIMARY ACCOUNT RECONCILIATION</t>
  </si>
  <si>
    <r>
      <rPr>
        <sz val="10"/>
        <rFont val="Garamond"/>
        <family val="1"/>
        <charset val="1"/>
      </rPr>
      <t xml:space="preserve">Complete this form for the </t>
    </r>
    <r>
      <rPr>
        <b val="true"/>
        <sz val="10"/>
        <rFont val="Garamond"/>
        <family val="1"/>
        <charset val="1"/>
      </rPr>
      <t xml:space="preserve">primary</t>
    </r>
    <r>
      <rPr>
        <sz val="10"/>
        <rFont val="Garamond"/>
        <family val="1"/>
        <charset val="1"/>
      </rPr>
      <t xml:space="preserve"> bank account held and managed by this Society branch or office.  Attach a copy of the bank statement which includes </t>
    </r>
  </si>
  <si>
    <t xml:space="preserve">ending date of period. Kingdoms may require more information to be attached. If your branch has funds but does not keep them in a bank account,</t>
  </si>
  <si>
    <t xml:space="preserve">use the Comment page to explain how the funds are managed.</t>
  </si>
  <si>
    <t xml:space="preserve">Bank Name:</t>
  </si>
  <si>
    <t xml:space="preserve">Fifth Third Bank</t>
  </si>
  <si>
    <t xml:space="preserve">Bank Account Title:</t>
  </si>
  <si>
    <t xml:space="preserve">Bank Account Type :</t>
  </si>
  <si>
    <t xml:space="preserve">Checking</t>
  </si>
  <si>
    <t xml:space="preserve">Bank's Signature Requirement:</t>
  </si>
  <si>
    <t xml:space="preserve">Dual Signature</t>
  </si>
  <si>
    <t xml:space="preserve">Bank Account Number :</t>
  </si>
  <si>
    <t xml:space="preserve">7146287227</t>
  </si>
  <si>
    <t xml:space="preserve">Statement Ending Date:</t>
  </si>
  <si>
    <t xml:space="preserve">Bank Branch Phone Number and Name of Contact:</t>
  </si>
  <si>
    <t xml:space="preserve">502-968-1135  Jennifer Johnson</t>
  </si>
  <si>
    <t xml:space="preserve">1. Balance from bank statement at end of period</t>
  </si>
  <si>
    <t xml:space="preserve">Deposit Date</t>
  </si>
  <si>
    <t xml:space="preserve">Amount of Deposit</t>
  </si>
  <si>
    <t xml:space="preserve">2. Deposits not cleared on statement        </t>
  </si>
  <si>
    <t xml:space="preserve">TOTAL</t>
  </si>
  <si>
    <t xml:space="preserve">Check Number</t>
  </si>
  <si>
    <t xml:space="preserve">Date</t>
  </si>
  <si>
    <t xml:space="preserve">Check Amount</t>
  </si>
  <si>
    <t xml:space="preserve">3. Checks not cleared on statement</t>
  </si>
  <si>
    <t xml:space="preserve">4. Adjusted ACCOUNT Balance (Line 1 + Line 2  - Line 3) </t>
  </si>
  <si>
    <t xml:space="preserve">5. Ending LEDGER or REGISTER Balance </t>
  </si>
  <si>
    <t xml:space="preserve">6. Does this account earn interest? (YES or NO)          </t>
  </si>
  <si>
    <t xml:space="preserve">No</t>
  </si>
  <si>
    <t xml:space="preserve">NO: add line 5 to Pg. 3 Line I.a.(End) </t>
  </si>
  <si>
    <t xml:space="preserve">YES: add line 5 to Pg. 3 Line I.b.(End)</t>
  </si>
  <si>
    <t xml:space="preserve">All Persons below are on the signature card as of (date):</t>
  </si>
  <si>
    <t xml:space="preserve">Title</t>
  </si>
  <si>
    <t xml:space="preserve">Legal Name (Print)</t>
  </si>
  <si>
    <t xml:space="preserve">Address</t>
  </si>
  <si>
    <t xml:space="preserve">Member # / Exp mm/yyyy</t>
  </si>
  <si>
    <t xml:space="preserve">Exchequer</t>
  </si>
  <si>
    <t xml:space="preserve">Seneschal</t>
  </si>
  <si>
    <t xml:space="preserve">24621 Oneida Blvd</t>
  </si>
  <si>
    <t xml:space="preserve">Oak Park MI  48237</t>
  </si>
  <si>
    <t xml:space="preserve">Local Signatory</t>
  </si>
  <si>
    <t xml:space="preserve">Kathy Moore</t>
  </si>
  <si>
    <t xml:space="preserve">804 Denmark St</t>
  </si>
  <si>
    <t xml:space="preserve">Louisville Ky 40215</t>
  </si>
  <si>
    <t xml:space="preserve">PayPal/SCA-rs Deputy</t>
  </si>
  <si>
    <t xml:space="preserve">North Olmstead, OH 44070</t>
  </si>
  <si>
    <t xml:space="preserve">Emergency Deputy</t>
  </si>
  <si>
    <t xml:space="preserve">Shepherdsville,  KY  40165</t>
  </si>
  <si>
    <t xml:space="preserve">COH Deputy Exchequer</t>
  </si>
  <si>
    <t xml:space="preserve">Vanessa Hall</t>
  </si>
  <si>
    <t xml:space="preserve">4895 Richelieu Avenue</t>
  </si>
  <si>
    <t xml:space="preserve">Sheffield Lake, OH  44054</t>
  </si>
  <si>
    <t xml:space="preserve">Branch accounts must include the exchequer and the Kingdom exchequer (or their designate) as signatories. </t>
  </si>
  <si>
    <t xml:space="preserve">Sign:</t>
  </si>
  <si>
    <t xml:space="preserve">Seneschal:</t>
  </si>
  <si>
    <t xml:space="preserve">Exchequer:</t>
  </si>
  <si>
    <t xml:space="preserve">Date:</t>
  </si>
  <si>
    <t xml:space="preserve">-2a-</t>
  </si>
  <si>
    <t xml:space="preserve">Yes</t>
  </si>
  <si>
    <t xml:space="preserve">Single Signature</t>
  </si>
  <si>
    <t xml:space="preserve">Other</t>
  </si>
  <si>
    <t xml:space="preserve">SECONDARY ACCOUNTS RECONCILIATION - OVERFLOW</t>
  </si>
  <si>
    <r>
      <rPr>
        <sz val="10"/>
        <rFont val="Garamond"/>
        <family val="1"/>
        <charset val="1"/>
      </rPr>
      <t xml:space="preserve">Complete one column for each </t>
    </r>
    <r>
      <rPr>
        <b val="true"/>
        <sz val="10"/>
        <rFont val="Garamond"/>
        <family val="1"/>
        <charset val="1"/>
      </rPr>
      <t xml:space="preserve">secondary</t>
    </r>
    <r>
      <rPr>
        <sz val="10"/>
        <rFont val="Garamond"/>
        <family val="1"/>
        <charset val="1"/>
      </rPr>
      <t xml:space="preserve"> bank account held and managed by this Society branch or office.  </t>
    </r>
    <r>
      <rPr>
        <b val="true"/>
        <sz val="10"/>
        <rFont val="Garamond"/>
        <family val="1"/>
        <charset val="1"/>
      </rPr>
      <t xml:space="preserve">Fill in all information </t>
    </r>
    <r>
      <rPr>
        <sz val="10"/>
        <rFont val="Garamond"/>
        <family val="1"/>
        <charset val="1"/>
      </rPr>
      <t xml:space="preserve">for the data to pass </t>
    </r>
  </si>
  <si>
    <t xml:space="preserve">on to the Balance Sheet. Attach copies of the bank statements which include ending date of period and reconciliation for each account.</t>
  </si>
  <si>
    <t xml:space="preserve">Kingdoms may require more information to be attached.</t>
  </si>
  <si>
    <t xml:space="preserve">Bank Name</t>
  </si>
  <si>
    <t xml:space="preserve">Fifth Third</t>
  </si>
  <si>
    <t xml:space="preserve">Account  Number</t>
  </si>
  <si>
    <t xml:space="preserve">7146286955</t>
  </si>
  <si>
    <t xml:space="preserve">Bank's Signature Req:</t>
  </si>
  <si>
    <t xml:space="preserve">Account Type</t>
  </si>
  <si>
    <t xml:space="preserve">Saving</t>
  </si>
  <si>
    <t xml:space="preserve">Interest Bearing?</t>
  </si>
  <si>
    <t xml:space="preserve">**</t>
  </si>
  <si>
    <t xml:space="preserve">Statement End Date</t>
  </si>
  <si>
    <r>
      <rPr>
        <b val="true"/>
        <sz val="10"/>
        <rFont val="Garamond"/>
        <family val="1"/>
        <charset val="1"/>
      </rPr>
      <t xml:space="preserve">A: </t>
    </r>
    <r>
      <rPr>
        <sz val="10"/>
        <rFont val="Garamond"/>
        <family val="1"/>
        <charset val="1"/>
      </rPr>
      <t xml:space="preserve">Statement Ending Balance</t>
    </r>
  </si>
  <si>
    <t xml:space="preserve">A</t>
  </si>
  <si>
    <r>
      <rPr>
        <b val="true"/>
        <sz val="10"/>
        <rFont val="Garamond"/>
        <family val="1"/>
        <charset val="1"/>
      </rPr>
      <t xml:space="preserve">B: </t>
    </r>
    <r>
      <rPr>
        <sz val="10"/>
        <rFont val="Garamond"/>
        <family val="1"/>
        <charset val="1"/>
      </rPr>
      <t xml:space="preserve">Total Deposits not credited</t>
    </r>
  </si>
  <si>
    <t xml:space="preserve">B</t>
  </si>
  <si>
    <r>
      <rPr>
        <b val="true"/>
        <sz val="10"/>
        <rFont val="Garamond"/>
        <family val="1"/>
        <charset val="1"/>
      </rPr>
      <t xml:space="preserve">C: </t>
    </r>
    <r>
      <rPr>
        <sz val="10"/>
        <rFont val="Garamond"/>
        <family val="1"/>
        <charset val="1"/>
      </rPr>
      <t xml:space="preserve">Total Withdrawals not cleared</t>
    </r>
  </si>
  <si>
    <t xml:space="preserve">C</t>
  </si>
  <si>
    <t xml:space="preserve">Non-Interest Bearing Adjusted Bank Balance (A + B - C)</t>
  </si>
  <si>
    <t xml:space="preserve">Pg.
 1 
I.a</t>
  </si>
  <si>
    <t xml:space="preserve">Interest Bearing Adjusted Bank Balance (A + B - C)</t>
  </si>
  <si>
    <t xml:space="preserve">Pg.
 1 
I.b</t>
  </si>
  <si>
    <t xml:space="preserve">ENDING BALANCES</t>
  </si>
  <si>
    <t xml:space="preserve">Ending Balance in Register/Ledger</t>
  </si>
  <si>
    <t xml:space="preserve">SIGNATORIES</t>
  </si>
  <si>
    <t xml:space="preserve">Legal Name</t>
  </si>
  <si>
    <t xml:space="preserve">Member #</t>
  </si>
  <si>
    <t xml:space="preserve">Expiration mm/yyyy</t>
  </si>
  <si>
    <t xml:space="preserve">Use additional sheets if necessary</t>
  </si>
  <si>
    <t xml:space="preserve">-2b-</t>
  </si>
  <si>
    <t xml:space="preserve">CD</t>
  </si>
  <si>
    <t xml:space="preserve">Money Market</t>
  </si>
  <si>
    <t xml:space="preserve">COMPARATIVE BALANCE STATEMENT</t>
  </si>
  <si>
    <r>
      <rPr>
        <sz val="10"/>
        <rFont val="Garamond"/>
        <family val="1"/>
        <charset val="1"/>
      </rPr>
      <t xml:space="preserve">For </t>
    </r>
    <r>
      <rPr>
        <b val="true"/>
        <sz val="10"/>
        <rFont val="Garamond"/>
        <family val="1"/>
        <charset val="1"/>
      </rPr>
      <t xml:space="preserve">Cumulative</t>
    </r>
    <r>
      <rPr>
        <sz val="10"/>
        <rFont val="Garamond"/>
        <family val="1"/>
        <charset val="1"/>
      </rPr>
      <t xml:space="preserve"> Quarterly Reports, use </t>
    </r>
    <r>
      <rPr>
        <b val="true"/>
        <sz val="10"/>
        <rFont val="Garamond"/>
        <family val="1"/>
        <charset val="1"/>
      </rPr>
      <t xml:space="preserve">last year's</t>
    </r>
    <r>
      <rPr>
        <sz val="10"/>
        <rFont val="Garamond"/>
        <family val="1"/>
        <charset val="1"/>
      </rPr>
      <t xml:space="preserve"> Comparative Balance Sheet (End) amounts for the (Start) amounts. </t>
    </r>
  </si>
  <si>
    <r>
      <rPr>
        <sz val="10"/>
        <rFont val="Garamond"/>
        <family val="1"/>
        <charset val="1"/>
      </rPr>
      <t xml:space="preserve">For </t>
    </r>
    <r>
      <rPr>
        <b val="true"/>
        <sz val="10"/>
        <rFont val="Garamond"/>
        <family val="1"/>
        <charset val="1"/>
      </rPr>
      <t xml:space="preserve">Sequential</t>
    </r>
    <r>
      <rPr>
        <sz val="10"/>
        <rFont val="Garamond"/>
        <family val="1"/>
        <charset val="1"/>
      </rPr>
      <t xml:space="preserve"> Quarterly Reports, use </t>
    </r>
    <r>
      <rPr>
        <b val="true"/>
        <sz val="10"/>
        <rFont val="Garamond"/>
        <family val="1"/>
        <charset val="1"/>
      </rPr>
      <t xml:space="preserve">last report's</t>
    </r>
    <r>
      <rPr>
        <sz val="10"/>
        <rFont val="Garamond"/>
        <family val="1"/>
        <charset val="1"/>
      </rPr>
      <t xml:space="preserve"> Comparative Balance Sheet (End) amounts for the (Start) amounts. </t>
    </r>
  </si>
  <si>
    <r>
      <rPr>
        <sz val="10"/>
        <rFont val="Garamond"/>
        <family val="1"/>
        <charset val="1"/>
      </rPr>
      <t xml:space="preserve">For </t>
    </r>
    <r>
      <rPr>
        <b val="true"/>
        <sz val="10"/>
        <rFont val="Garamond"/>
        <family val="1"/>
        <charset val="1"/>
      </rPr>
      <t xml:space="preserve">Year-end</t>
    </r>
    <r>
      <rPr>
        <sz val="10"/>
        <rFont val="Garamond"/>
        <family val="1"/>
        <charset val="1"/>
      </rPr>
      <t xml:space="preserve"> Reports, the (Start) numbers will be provided to you by the Kingdom Exchequer. The numbers may have </t>
    </r>
  </si>
  <si>
    <t xml:space="preserve">changed from what was submitted last year because of transfer reconciliation between your account and other accounts.</t>
  </si>
  <si>
    <t xml:space="preserve">The Year-end Report must be signed by the person preparing the report.</t>
  </si>
  <si>
    <t xml:space="preserve">(START) FIGURES MAY NOT BE CHANGED UNDER ANY CIRCUMSTANCES! </t>
  </si>
  <si>
    <t xml:space="preserve">I.  ASSETS</t>
  </si>
  <si>
    <t xml:space="preserve">(from page)</t>
  </si>
  <si>
    <t xml:space="preserve">Start</t>
  </si>
  <si>
    <t xml:space="preserve">End </t>
  </si>
  <si>
    <t xml:space="preserve">Diff</t>
  </si>
  <si>
    <t xml:space="preserve">a)  Undeposited and Non-Interest Bearing Cash </t>
  </si>
  <si>
    <t xml:space="preserve">(2,5a)</t>
  </si>
  <si>
    <t xml:space="preserve">b)  Cash Earning Interest</t>
  </si>
  <si>
    <t xml:space="preserve">(2)</t>
  </si>
  <si>
    <t xml:space="preserve">c)  Receivables</t>
  </si>
  <si>
    <t xml:space="preserve">(5a)</t>
  </si>
  <si>
    <t xml:space="preserve">d)  Inventory For Sale (Major Inventory)</t>
  </si>
  <si>
    <t xml:space="preserve">(6)</t>
  </si>
  <si>
    <t xml:space="preserve">e)  Regalia &amp; Non-Depreciated Equipment</t>
  </si>
  <si>
    <t xml:space="preserve">(7)</t>
  </si>
  <si>
    <t xml:space="preserve">f)  Depreciated Equipment</t>
  </si>
  <si>
    <t xml:space="preserve">(8)</t>
  </si>
  <si>
    <t xml:space="preserve">g)  MINUS Accumulated Depreciation</t>
  </si>
  <si>
    <t xml:space="preserve">h)  Prepaid Expenses</t>
  </si>
  <si>
    <t xml:space="preserve">i)  Other Assets</t>
  </si>
  <si>
    <t xml:space="preserve">j) TOTAL ASSETS</t>
  </si>
  <si>
    <r>
      <rPr>
        <sz val="9"/>
        <rFont val="Garamond"/>
        <family val="1"/>
        <charset val="1"/>
      </rPr>
      <t xml:space="preserve">Add </t>
    </r>
    <r>
      <rPr>
        <b val="true"/>
        <sz val="9"/>
        <rFont val="Garamond"/>
        <family val="1"/>
        <charset val="1"/>
      </rPr>
      <t xml:space="preserve">a</t>
    </r>
    <r>
      <rPr>
        <sz val="9"/>
        <rFont val="Garamond"/>
        <family val="1"/>
        <charset val="1"/>
      </rPr>
      <t xml:space="preserve"> through </t>
    </r>
    <r>
      <rPr>
        <b val="true"/>
        <sz val="9"/>
        <rFont val="Garamond"/>
        <family val="1"/>
        <charset val="1"/>
      </rPr>
      <t xml:space="preserve">f, </t>
    </r>
    <r>
      <rPr>
        <sz val="9"/>
        <rFont val="Garamond"/>
        <family val="1"/>
        <charset val="1"/>
      </rPr>
      <t xml:space="preserve">subtract</t>
    </r>
    <r>
      <rPr>
        <b val="true"/>
        <sz val="9"/>
        <rFont val="Garamond"/>
        <family val="1"/>
        <charset val="1"/>
      </rPr>
      <t xml:space="preserve"> g, </t>
    </r>
    <r>
      <rPr>
        <sz val="9"/>
        <rFont val="Garamond"/>
        <family val="1"/>
        <charset val="1"/>
      </rPr>
      <t xml:space="preserve">then</t>
    </r>
    <r>
      <rPr>
        <b val="true"/>
        <sz val="9"/>
        <rFont val="Garamond"/>
        <family val="1"/>
        <charset val="1"/>
      </rPr>
      <t xml:space="preserve"> </t>
    </r>
    <r>
      <rPr>
        <sz val="9"/>
        <rFont val="Garamond"/>
        <family val="1"/>
        <charset val="1"/>
      </rPr>
      <t xml:space="preserve">add</t>
    </r>
    <r>
      <rPr>
        <b val="true"/>
        <sz val="9"/>
        <rFont val="Garamond"/>
        <family val="1"/>
        <charset val="1"/>
      </rPr>
      <t xml:space="preserve"> h</t>
    </r>
    <r>
      <rPr>
        <sz val="9"/>
        <rFont val="Garamond"/>
        <family val="1"/>
        <charset val="1"/>
      </rPr>
      <t xml:space="preserve"> and </t>
    </r>
    <r>
      <rPr>
        <b val="true"/>
        <sz val="9"/>
        <rFont val="Garamond"/>
        <family val="1"/>
        <charset val="1"/>
      </rPr>
      <t xml:space="preserve">i</t>
    </r>
  </si>
  <si>
    <t xml:space="preserve">II.  LIABILITIES</t>
  </si>
  <si>
    <t xml:space="preserve">a)  Newsletter Subscriptions Due</t>
  </si>
  <si>
    <t xml:space="preserve">(15)</t>
  </si>
  <si>
    <t xml:space="preserve">b)  Deferred Revenue </t>
  </si>
  <si>
    <t xml:space="preserve">(5b)</t>
  </si>
  <si>
    <t xml:space="preserve">c)  Payables</t>
  </si>
  <si>
    <t xml:space="preserve">d)  Other Liabilities</t>
  </si>
  <si>
    <t xml:space="preserve">e)  TOTAL LIABILITIES</t>
  </si>
  <si>
    <r>
      <rPr>
        <sz val="11"/>
        <rFont val="Garamond"/>
        <family val="1"/>
        <charset val="1"/>
      </rPr>
      <t xml:space="preserve">Add </t>
    </r>
    <r>
      <rPr>
        <b val="true"/>
        <sz val="11"/>
        <rFont val="Garamond"/>
        <family val="1"/>
        <charset val="1"/>
      </rPr>
      <t xml:space="preserve">a</t>
    </r>
    <r>
      <rPr>
        <sz val="11"/>
        <rFont val="Garamond"/>
        <family val="1"/>
        <charset val="1"/>
      </rPr>
      <t xml:space="preserve"> through </t>
    </r>
    <r>
      <rPr>
        <b val="true"/>
        <sz val="11"/>
        <rFont val="Garamond"/>
        <family val="1"/>
        <charset val="1"/>
      </rPr>
      <t xml:space="preserve">d</t>
    </r>
  </si>
  <si>
    <t xml:space="preserve">III.  NET WORTH</t>
  </si>
  <si>
    <r>
      <rPr>
        <sz val="12"/>
        <rFont val="Garamond"/>
        <family val="1"/>
        <charset val="1"/>
      </rPr>
      <t xml:space="preserve">Line </t>
    </r>
    <r>
      <rPr>
        <b val="true"/>
        <sz val="12"/>
        <rFont val="Garamond"/>
        <family val="1"/>
        <charset val="1"/>
      </rPr>
      <t xml:space="preserve">I.i</t>
    </r>
    <r>
      <rPr>
        <sz val="12"/>
        <rFont val="Garamond"/>
        <family val="1"/>
        <charset val="1"/>
      </rPr>
      <t xml:space="preserve"> minus Line </t>
    </r>
    <r>
      <rPr>
        <b val="true"/>
        <sz val="12"/>
        <rFont val="Garamond"/>
        <family val="1"/>
        <charset val="1"/>
      </rPr>
      <t xml:space="preserve">II.d</t>
    </r>
  </si>
  <si>
    <t xml:space="preserve">Proof:</t>
  </si>
  <si>
    <t xml:space="preserve">Change in Net Worth</t>
  </si>
  <si>
    <t xml:space="preserve">III(End) - III(Start)</t>
  </si>
  <si>
    <t xml:space="preserve">(A)</t>
  </si>
  <si>
    <t xml:space="preserve">(A = B) ? If NO, the report is incomplete.</t>
  </si>
  <si>
    <t xml:space="preserve">Net Income</t>
  </si>
  <si>
    <t xml:space="preserve">Income Statement Line 32</t>
  </si>
  <si>
    <t xml:space="preserve">(B)</t>
  </si>
  <si>
    <t xml:space="preserve">Legal Names:</t>
  </si>
  <si>
    <t xml:space="preserve">Print</t>
  </si>
  <si>
    <t xml:space="preserve">Sign</t>
  </si>
  <si>
    <t xml:space="preserve">Signatures below certify that the information on this report is correct and complete to the best of their knowledge.</t>
  </si>
  <si>
    <t xml:space="preserve">-3-</t>
  </si>
  <si>
    <t xml:space="preserve">INCOME STATEMENT</t>
  </si>
  <si>
    <t xml:space="preserve">INCOME</t>
  </si>
  <si>
    <t xml:space="preserve">Gross</t>
  </si>
  <si>
    <t xml:space="preserve">Cost</t>
  </si>
  <si>
    <t xml:space="preserve"> Amount</t>
  </si>
  <si>
    <t xml:space="preserve">1a</t>
  </si>
  <si>
    <r>
      <rPr>
        <sz val="10"/>
        <rFont val="Garamond"/>
        <family val="1"/>
        <charset val="1"/>
      </rPr>
      <t xml:space="preserve">Fund Raising: </t>
    </r>
    <r>
      <rPr>
        <b val="true"/>
        <sz val="10"/>
        <rFont val="Garamond"/>
        <family val="1"/>
        <charset val="1"/>
      </rPr>
      <t xml:space="preserve">Non-medieval </t>
    </r>
    <r>
      <rPr>
        <sz val="10"/>
        <rFont val="Garamond"/>
        <family val="1"/>
        <charset val="1"/>
      </rPr>
      <t xml:space="preserve">activities to earn 
income (car washes, bake sales, etc.)</t>
    </r>
  </si>
  <si>
    <t xml:space="preserve">(11a)</t>
  </si>
  <si>
    <t xml:space="preserve">INTERNAL</t>
  </si>
  <si>
    <t xml:space="preserve">1b</t>
  </si>
  <si>
    <t xml:space="preserve">EXTERNAL</t>
  </si>
  <si>
    <r>
      <rPr>
        <sz val="10"/>
        <rFont val="Garamond"/>
        <family val="1"/>
        <charset val="1"/>
      </rPr>
      <t xml:space="preserve">Direct Contributions/Donations: </t>
    </r>
    <r>
      <rPr>
        <b val="true"/>
        <sz val="10"/>
        <rFont val="Garamond"/>
        <family val="1"/>
        <charset val="1"/>
      </rPr>
      <t xml:space="preserve">No activity</t>
    </r>
  </si>
  <si>
    <t xml:space="preserve">3a</t>
  </si>
  <si>
    <r>
      <rPr>
        <sz val="10"/>
        <rFont val="Garamond"/>
        <family val="1"/>
        <charset val="1"/>
      </rPr>
      <t xml:space="preserve">Activity Related: </t>
    </r>
    <r>
      <rPr>
        <b val="true"/>
        <sz val="10"/>
        <rFont val="Garamond"/>
        <family val="1"/>
        <charset val="1"/>
      </rPr>
      <t xml:space="preserve">Medieval</t>
    </r>
    <r>
      <rPr>
        <sz val="10"/>
        <rFont val="Garamond"/>
        <family val="1"/>
        <charset val="1"/>
      </rPr>
      <t xml:space="preserve"> activities to earn income (events, demos, heraldry fees)</t>
    </r>
  </si>
  <si>
    <t xml:space="preserve">Income from Demos and Activity Fees</t>
  </si>
  <si>
    <t xml:space="preserve">3b</t>
  </si>
  <si>
    <t xml:space="preserve">(11b)</t>
  </si>
  <si>
    <t xml:space="preserve">Adjusted Gross Event Income</t>
  </si>
  <si>
    <t xml:space="preserve">4a</t>
  </si>
  <si>
    <t xml:space="preserve">Funds Transferred In from Another SCA Account</t>
  </si>
  <si>
    <t xml:space="preserve">(9)</t>
  </si>
  <si>
    <t xml:space="preserve">WITHIN KINGDOM </t>
  </si>
  <si>
    <t xml:space="preserve">4b</t>
  </si>
  <si>
    <t xml:space="preserve">OUTSIDE KINGDOM </t>
  </si>
  <si>
    <t xml:space="preserve">Interest Earned</t>
  </si>
  <si>
    <t xml:space="preserve">Net Inventory Sales Income</t>
  </si>
  <si>
    <t xml:space="preserve">Gross-Cost=Net</t>
  </si>
  <si>
    <t xml:space="preserve">Other Sales Income</t>
  </si>
  <si>
    <t xml:space="preserve">Adjusted Gross Newsletter Income</t>
  </si>
  <si>
    <t xml:space="preserve">Net Advertising Income</t>
  </si>
  <si>
    <t xml:space="preserve">Other Income </t>
  </si>
  <si>
    <t xml:space="preserve">TOTAL GROSS INCOME </t>
  </si>
  <si>
    <t xml:space="preserve">(Sum of Lines 1 through 9)</t>
  </si>
  <si>
    <t xml:space="preserve">EXPENSES</t>
  </si>
  <si>
    <t xml:space="preserve">Office &amp; Admin.</t>
  </si>
  <si>
    <t xml:space="preserve">Activity Related</t>
  </si>
  <si>
    <t xml:space="preserve">Fund Raising</t>
  </si>
  <si>
    <t xml:space="preserve">Total</t>
  </si>
  <si>
    <t xml:space="preserve">Advertising (NON-SCA)</t>
  </si>
  <si>
    <t xml:space="preserve">(12a)</t>
  </si>
  <si>
    <t xml:space="preserve">Bad Debts</t>
  </si>
  <si>
    <t xml:space="preserve">Bank Service Charges</t>
  </si>
  <si>
    <t xml:space="preserve">Depreciation </t>
  </si>
  <si>
    <t xml:space="preserve">Equipment Rental &amp; Maintenance</t>
  </si>
  <si>
    <t xml:space="preserve">Fees &amp; Honoraria    </t>
  </si>
  <si>
    <t xml:space="preserve">Food</t>
  </si>
  <si>
    <t xml:space="preserve">General Supplies</t>
  </si>
  <si>
    <t xml:space="preserve">Insurance (NON-SCA)</t>
  </si>
  <si>
    <t xml:space="preserve">(12b)</t>
  </si>
  <si>
    <t xml:space="preserve">Occupancy &amp; Site Charges</t>
  </si>
  <si>
    <t xml:space="preserve">Postage &amp; Shipping, PO Box Rental</t>
  </si>
  <si>
    <t xml:space="preserve">Printing &amp; Publications</t>
  </si>
  <si>
    <t xml:space="preserve">Released Equipment/Assets</t>
  </si>
  <si>
    <t xml:space="preserve">Telephone</t>
  </si>
  <si>
    <t xml:space="preserve">Travel (Gas, Tolls, Airfare)</t>
  </si>
  <si>
    <r>
      <rPr>
        <b val="true"/>
        <i val="true"/>
        <sz val="10"/>
        <rFont val="Garamond"/>
        <family val="1"/>
        <charset val="1"/>
      </rPr>
      <t xml:space="preserve">SUB-TOTAL</t>
    </r>
    <r>
      <rPr>
        <b val="true"/>
        <sz val="10"/>
        <rFont val="Garamond"/>
        <family val="1"/>
        <charset val="1"/>
      </rPr>
      <t xml:space="preserve">                       (Lines 12-26)</t>
    </r>
  </si>
  <si>
    <t xml:space="preserve">Other Expenses </t>
  </si>
  <si>
    <t xml:space="preserve">Donations to Other 501(c)(3) [Nonprofit] Organizations   </t>
  </si>
  <si>
    <t xml:space="preserve">30a</t>
  </si>
  <si>
    <t xml:space="preserve">Funds Transferred Out to Another SCA Account </t>
  </si>
  <si>
    <t xml:space="preserve">WITHIN KINGDOM</t>
  </si>
  <si>
    <t xml:space="preserve">(10)</t>
  </si>
  <si>
    <t xml:space="preserve">30b</t>
  </si>
  <si>
    <t xml:space="preserve">OUTSIDE KINGDOM</t>
  </si>
  <si>
    <t xml:space="preserve">TOTAL EXPENSES</t>
  </si>
  <si>
    <t xml:space="preserve">(Line 27 TOTAL + Lines 28 to 30b)</t>
  </si>
  <si>
    <r>
      <rPr>
        <b val="true"/>
        <sz val="11"/>
        <rFont val="Garamond"/>
        <family val="1"/>
        <charset val="1"/>
      </rPr>
      <t xml:space="preserve">NET INCOME  </t>
    </r>
    <r>
      <rPr>
        <i val="true"/>
        <sz val="11"/>
        <rFont val="Garamond"/>
        <family val="1"/>
        <charset val="1"/>
      </rPr>
      <t xml:space="preserve">(MUST MATCH Change in Net Worth)</t>
    </r>
  </si>
  <si>
    <t xml:space="preserve">(Line 11 Minus Line 31)</t>
  </si>
  <si>
    <t xml:space="preserve">-4-</t>
  </si>
  <si>
    <t xml:space="preserve">ASSET DETAIL WORKSHEET</t>
  </si>
  <si>
    <t xml:space="preserve">Undeposited funds are cash or checks not yet deposited into an account, and the amount of any temporary cash funds that may exist.</t>
  </si>
  <si>
    <t xml:space="preserve">Enter the total amount below with the reason it is not in a bank.</t>
  </si>
  <si>
    <r>
      <rPr>
        <b val="true"/>
        <i val="true"/>
        <sz val="10"/>
        <rFont val="Garamond"/>
        <family val="1"/>
        <charset val="1"/>
      </rPr>
      <t xml:space="preserve">4th quarter only:</t>
    </r>
    <r>
      <rPr>
        <b val="true"/>
        <sz val="10"/>
        <rFont val="Garamond"/>
        <family val="1"/>
        <charset val="1"/>
      </rPr>
      <t xml:space="preserve"> Also enter any undeposited transfer checks written in prior year.</t>
    </r>
  </si>
  <si>
    <t xml:space="preserve">UNDEPOSITED FUNDS AND LATE-ARRIVING TRANSFER CHECKS</t>
  </si>
  <si>
    <t xml:space="preserve">Sending Branch or Reason </t>
  </si>
  <si>
    <t xml:space="preserve">Amount</t>
  </si>
  <si>
    <t xml:space="preserve">Riviere Constelle</t>
  </si>
  <si>
    <t xml:space="preserve">Roraing Waste</t>
  </si>
  <si>
    <t xml:space="preserve">Add TOTAL to Pg. 3 I.a (End)</t>
  </si>
  <si>
    <t xml:space="preserve">Receivables are funds that are due to the SCA, Inc. from third parties through already established obligations. Examples include:</t>
  </si>
  <si>
    <t xml:space="preserve">Unresolved cash advances, returned checks and bank fees, etc.</t>
  </si>
  <si>
    <r>
      <rPr>
        <b val="true"/>
        <sz val="10"/>
        <rFont val="Garamond"/>
        <family val="1"/>
        <charset val="1"/>
      </rPr>
      <t xml:space="preserve">RECEIVABLES: </t>
    </r>
    <r>
      <rPr>
        <sz val="10"/>
        <rFont val="Garamond"/>
        <family val="1"/>
        <charset val="1"/>
      </rPr>
      <t xml:space="preserve"> Owed From</t>
    </r>
  </si>
  <si>
    <t xml:space="preserve">Reason</t>
  </si>
  <si>
    <t xml:space="preserve">Prior Amount</t>
  </si>
  <si>
    <t xml:space="preserve">Current Amount</t>
  </si>
  <si>
    <t xml:space="preserve">TOTAL  </t>
  </si>
  <si>
    <t xml:space="preserve">Show on  </t>
  </si>
  <si>
    <t xml:space="preserve">Pg. 3 I.c (Start)</t>
  </si>
  <si>
    <t xml:space="preserve">Pg. 3 I.c (End)</t>
  </si>
  <si>
    <t xml:space="preserve">Prepaid expenses are any expenses that we have paid for in advance, such as site deposits or down payments, that will be used </t>
  </si>
  <si>
    <t xml:space="preserve">toward the final payment. We are still owed the product or service for which that payment is related, or a refund.</t>
  </si>
  <si>
    <t xml:space="preserve">PREPAID EXPENSES: Description</t>
  </si>
  <si>
    <t xml:space="preserve">Tents for Rent - Pennsic 51   Middle Royal Camp and Field</t>
  </si>
  <si>
    <t xml:space="preserve">Pg. 3 I.h (Start)</t>
  </si>
  <si>
    <t xml:space="preserve">Pg. 3 I.h (End)</t>
  </si>
  <si>
    <t xml:space="preserve">Other assets are any assets that do not fall into any other category. An example is a site security deposit which will be returned </t>
  </si>
  <si>
    <t xml:space="preserve">after the event has occurred and the site is inspected.</t>
  </si>
  <si>
    <r>
      <rPr>
        <b val="true"/>
        <sz val="10"/>
        <rFont val="Garamond"/>
        <family val="1"/>
        <charset val="1"/>
      </rPr>
      <t xml:space="preserve">OTHER ASSETS: </t>
    </r>
    <r>
      <rPr>
        <sz val="10"/>
        <rFont val="Garamond"/>
        <family val="1"/>
        <charset val="1"/>
      </rPr>
      <t xml:space="preserve">Description</t>
    </r>
  </si>
  <si>
    <t xml:space="preserve">Pg. 3 I.i (Start)</t>
  </si>
  <si>
    <t xml:space="preserve">Pg. 3 I.i (End)</t>
  </si>
  <si>
    <t xml:space="preserve">-5a-</t>
  </si>
  <si>
    <t xml:space="preserve">LIABILITY DETAIL WORKSHEET</t>
  </si>
  <si>
    <t xml:space="preserve">Deferred Revenue is event income that has been collected before the end of the period for an event that will occur after the end</t>
  </si>
  <si>
    <t xml:space="preserve">of the period. For the report before the event, enter the name of the event, and any event income collected as the current amount. </t>
  </si>
  <si>
    <t xml:space="preserve">For the report after the event, move the amount to the prior amount and zero out the current amount for that event.</t>
  </si>
  <si>
    <t xml:space="preserve">For example, Alabaster Alley's 12th night event accepts reservations in December. Any funds received in December would be </t>
  </si>
  <si>
    <t xml:space="preserve">reported as Current Deferred Revenue on the 4th quarter report, and Prior Deferred Revenue on the 1st quarter report next year.</t>
  </si>
  <si>
    <r>
      <rPr>
        <b val="true"/>
        <sz val="10"/>
        <rFont val="Garamond"/>
        <family val="1"/>
        <charset val="1"/>
      </rPr>
      <t xml:space="preserve">DEFERRED REVENUE: </t>
    </r>
    <r>
      <rPr>
        <sz val="10"/>
        <rFont val="Garamond"/>
        <family val="1"/>
        <charset val="1"/>
      </rPr>
      <t xml:space="preserve"> Event</t>
    </r>
  </si>
  <si>
    <t xml:space="preserve">Event</t>
  </si>
  <si>
    <t xml:space="preserve">Pg. 3 II.b (Start)</t>
  </si>
  <si>
    <t xml:space="preserve">Pg. 3 II.b (End)</t>
  </si>
  <si>
    <t xml:space="preserve">Payables are any funds owed to a third party that have not yet been paid. An example is a reimbursement for receipts </t>
  </si>
  <si>
    <t xml:space="preserve">submitted, but a check has not yet been written.</t>
  </si>
  <si>
    <r>
      <rPr>
        <b val="true"/>
        <sz val="10"/>
        <rFont val="Garamond"/>
        <family val="1"/>
        <charset val="1"/>
      </rPr>
      <t xml:space="preserve">PAYABLES: </t>
    </r>
    <r>
      <rPr>
        <sz val="10"/>
        <rFont val="Garamond"/>
        <family val="1"/>
        <charset val="1"/>
      </rPr>
      <t xml:space="preserve">Owed To</t>
    </r>
  </si>
  <si>
    <t xml:space="preserve">Pg. 3 II.c(Start)</t>
  </si>
  <si>
    <t xml:space="preserve">Pg. 3 II.c (End)</t>
  </si>
  <si>
    <t xml:space="preserve">Other Liabilities are any other funds that are owed that do not fall into any other category. Collected Sales Tax would go here. </t>
  </si>
  <si>
    <r>
      <rPr>
        <b val="true"/>
        <sz val="10"/>
        <rFont val="Garamond"/>
        <family val="1"/>
        <charset val="1"/>
      </rPr>
      <t xml:space="preserve">OTHER LIABILITIES: </t>
    </r>
    <r>
      <rPr>
        <sz val="10"/>
        <rFont val="Garamond"/>
        <family val="1"/>
        <charset val="1"/>
      </rPr>
      <t xml:space="preserve">Owed To</t>
    </r>
  </si>
  <si>
    <t xml:space="preserve">Pg. 3 II.d (Start)</t>
  </si>
  <si>
    <t xml:space="preserve">Pg. 3 II.d (End)</t>
  </si>
  <si>
    <t xml:space="preserve">-5b-</t>
  </si>
  <si>
    <t xml:space="preserve">INVENTORY DETAIL</t>
  </si>
  <si>
    <r>
      <rPr>
        <b val="true"/>
        <sz val="10"/>
        <rFont val="Garamond"/>
        <family val="1"/>
        <charset val="1"/>
      </rPr>
      <t xml:space="preserve">NOTE: </t>
    </r>
    <r>
      <rPr>
        <sz val="10"/>
        <rFont val="Garamond"/>
        <family val="1"/>
        <charset val="1"/>
      </rPr>
      <t xml:space="preserve">Use this form for major inventory (purchased for lot price of $250 +). If a new lot originally cost less than US$250 (minor inventory), use Page 7 to report income from sales of those items.</t>
    </r>
  </si>
  <si>
    <r>
      <rPr>
        <b val="true"/>
        <i val="true"/>
        <sz val="10"/>
        <rFont val="Garamond"/>
        <family val="1"/>
        <charset val="1"/>
      </rPr>
      <t xml:space="preserve">Report each purchase lot separately. </t>
    </r>
    <r>
      <rPr>
        <sz val="10"/>
        <rFont val="Garamond"/>
        <family val="1"/>
        <charset val="1"/>
      </rPr>
      <t xml:space="preserve">Report sales from oldest lots of the same item first. Report discarded items on line E.</t>
    </r>
  </si>
  <si>
    <t xml:space="preserve">Each Lot will either have A1 and B1 populated from a prior report, or A2 and B2 if the lot is new for this report.</t>
  </si>
  <si>
    <t xml:space="preserve">Lot Item Description and Year Purchased</t>
  </si>
  <si>
    <t xml:space="preserve">TOTAL ACROSS and where to report on prior pages</t>
  </si>
  <si>
    <t xml:space="preserve">SP</t>
  </si>
  <si>
    <t xml:space="preserve">Suggested Selling Price</t>
  </si>
  <si>
    <t xml:space="preserve">STARTING BALANCE (for items reported on a prior report)</t>
  </si>
  <si>
    <t xml:space="preserve">A1</t>
  </si>
  <si>
    <t xml:space="preserve">Existing Lot Quantity</t>
  </si>
  <si>
    <t xml:space="preserve">Pg. 3, I.d (Start)</t>
  </si>
  <si>
    <t xml:space="preserve">B1</t>
  </si>
  <si>
    <t xml:space="preserve">Existing Lot Extended Cost</t>
  </si>
  <si>
    <t xml:space="preserve">PURCHASES THIS PERIOD (for items NOT reported on a prior report)</t>
  </si>
  <si>
    <t xml:space="preserve">A2</t>
  </si>
  <si>
    <t xml:space="preserve">New Lot Purchase Quantity</t>
  </si>
  <si>
    <t xml:space="preserve">B2</t>
  </si>
  <si>
    <t xml:space="preserve">New Lot Purchase Cost</t>
  </si>
  <si>
    <t xml:space="preserve">PER-UNIT COST</t>
  </si>
  <si>
    <t xml:space="preserve">Per Unit Cost
(B1/A1 or B2/A2)</t>
  </si>
  <si>
    <t xml:space="preserve">ENDING BALANCE</t>
  </si>
  <si>
    <t xml:space="preserve">D</t>
  </si>
  <si>
    <t xml:space="preserve">Quantity Sold at any price</t>
  </si>
  <si>
    <t xml:space="preserve">E</t>
  </si>
  <si>
    <t xml:space="preserve">Quantity Removed or Discarded</t>
  </si>
  <si>
    <t xml:space="preserve">F</t>
  </si>
  <si>
    <t xml:space="preserve">Ending Quantity 
((B1or B2)-D-E)</t>
  </si>
  <si>
    <t xml:space="preserve">Pg. 3 I.d (End)</t>
  </si>
  <si>
    <t xml:space="preserve">G</t>
  </si>
  <si>
    <t xml:space="preserve">Ending Extended 
Cost (F x C)</t>
  </si>
  <si>
    <t xml:space="preserve">NET INCOME</t>
  </si>
  <si>
    <t xml:space="preserve">H</t>
  </si>
  <si>
    <t xml:space="preserve">Cost of Goods 
((B1 + B2) - G)</t>
  </si>
  <si>
    <t xml:space="preserve">I</t>
  </si>
  <si>
    <t xml:space="preserve">Actual Gross Income from Inventory Sales </t>
  </si>
  <si>
    <t xml:space="preserve">J</t>
  </si>
  <si>
    <t xml:space="preserve">Net Inventory Sales Income (I - H)</t>
  </si>
  <si>
    <t xml:space="preserve">Pg. 4, Ln 6</t>
  </si>
  <si>
    <t xml:space="preserve">-6-</t>
  </si>
  <si>
    <t xml:space="preserve">REGALIA &amp; OTHER SALES DETAIL</t>
  </si>
  <si>
    <t xml:space="preserve">REGALIA &amp; NON-DEPRECIATED EQUIPMENT - THIS SECTION WILL BE GOING AWAY. </t>
  </si>
  <si>
    <t xml:space="preserve">DO NOT ENTER ANY MORE ITEMS UNDER REGALIA. </t>
  </si>
  <si>
    <t xml:space="preserve">Any regalia type item such as a crown that cost $2000 or more needs to be depreciated under the 7 year section. </t>
  </si>
  <si>
    <t xml:space="preserve">If you purchased two crowns/coronets for $3000 then each one would be $1500 a piece and these would not  be </t>
  </si>
  <si>
    <t xml:space="preserve">depreciatied but rather expensed under AR-General Supplies. You would still need to list the items on the group's </t>
  </si>
  <si>
    <t xml:space="preserve">property list.</t>
  </si>
  <si>
    <t xml:space="preserve">Item Description</t>
  </si>
  <si>
    <t xml:space="preserve">QTY</t>
  </si>
  <si>
    <t xml:space="preserve">Year 
Acquired</t>
  </si>
  <si>
    <t xml:space="preserve">(A)
(Start) 
Prior Value</t>
  </si>
  <si>
    <t xml:space="preserve">(B)
Value of New Item</t>
  </si>
  <si>
    <t xml:space="preserve">(C) Value Adjustment</t>
  </si>
  <si>
    <t xml:space="preserve">(A or B)+(C)
(End) 
Value</t>
  </si>
  <si>
    <t xml:space="preserve">Show on</t>
  </si>
  <si>
    <t xml:space="preserve">Pg. 3 I.e 
(Start)</t>
  </si>
  <si>
    <t xml:space="preserve">Pg. 31a, 
Line 2.c</t>
  </si>
  <si>
    <t xml:space="preserve">Pg. 3 I.e 
(End)</t>
  </si>
  <si>
    <r>
      <rPr>
        <b val="true"/>
        <sz val="11"/>
        <rFont val="Garamond"/>
        <family val="1"/>
        <charset val="1"/>
      </rPr>
      <t xml:space="preserve">OTHER SALES INCOME</t>
    </r>
    <r>
      <rPr>
        <sz val="10"/>
        <rFont val="Garamond"/>
        <family val="1"/>
        <charset val="1"/>
      </rPr>
      <t xml:space="preserve">:</t>
    </r>
  </si>
  <si>
    <r>
      <rPr>
        <b val="true"/>
        <sz val="10"/>
        <rFont val="Garamond"/>
        <family val="1"/>
        <charset val="1"/>
      </rPr>
      <t xml:space="preserve">(1) Minor Inventory 
</t>
    </r>
    <r>
      <rPr>
        <sz val="10"/>
        <rFont val="Garamond"/>
        <family val="1"/>
        <charset val="1"/>
      </rPr>
      <t xml:space="preserve">(Not reported as Major Inventory, and expensed as Supplies when purchased)</t>
    </r>
  </si>
  <si>
    <t xml:space="preserve">Number Sold</t>
  </si>
  <si>
    <t xml:space="preserve">Income from 
Sale</t>
  </si>
  <si>
    <t xml:space="preserve">TOTAL (1)</t>
  </si>
  <si>
    <r>
      <rPr>
        <b val="true"/>
        <sz val="10"/>
        <rFont val="Garamond"/>
        <family val="1"/>
        <charset val="1"/>
      </rPr>
      <t xml:space="preserve">(2) Released or Sold Asset
</t>
    </r>
    <r>
      <rPr>
        <sz val="10"/>
        <rFont val="Garamond"/>
        <family val="1"/>
        <charset val="1"/>
      </rPr>
      <t xml:space="preserve">(listed on pg 8, 8b, 8c in a prior report)</t>
    </r>
  </si>
  <si>
    <t xml:space="preserve">(A)   (Start) 
Prior Value
(from pg 7 or 8)</t>
  </si>
  <si>
    <t xml:space="preserve">(B)   (Start)
Accum. Depr.
(if from pg 8)</t>
  </si>
  <si>
    <t xml:space="preserve">(A - B)
Value 
Lost</t>
  </si>
  <si>
    <t xml:space="preserve">Income from 
Sale (if any)</t>
  </si>
  <si>
    <t xml:space="preserve">TOTAL (2)</t>
  </si>
  <si>
    <t xml:space="preserve">TOTAL (1)+(2)</t>
  </si>
  <si>
    <t xml:space="preserve">Pg. 4, Ln 24 </t>
  </si>
  <si>
    <t xml:space="preserve">Pg. 4 Ln 7</t>
  </si>
  <si>
    <t xml:space="preserve">Use additional sheets if necessary.</t>
  </si>
  <si>
    <t xml:space="preserve">-7-</t>
  </si>
  <si>
    <t xml:space="preserve">DEPRECIATION DETAIL</t>
  </si>
  <si>
    <r>
      <rPr>
        <sz val="8"/>
        <rFont val="Garamond"/>
        <family val="1"/>
        <charset val="1"/>
      </rPr>
      <t xml:space="preserve">To remove an item previously listed, </t>
    </r>
    <r>
      <rPr>
        <b val="true"/>
        <sz val="8"/>
        <rFont val="Garamond"/>
        <family val="1"/>
        <charset val="1"/>
      </rPr>
      <t xml:space="preserve">do not</t>
    </r>
    <r>
      <rPr>
        <sz val="8"/>
        <rFont val="Garamond"/>
        <family val="1"/>
        <charset val="1"/>
      </rPr>
      <t xml:space="preserve"> list it here. Instead, list it on the bottom of page 7 for reported equipment.</t>
    </r>
  </si>
  <si>
    <t xml:space="preserve">5 Year Depreciation: Trailers and Electronic Equipment</t>
  </si>
  <si>
    <r>
      <rPr>
        <b val="true"/>
        <sz val="10"/>
        <rFont val="Garamond"/>
        <family val="1"/>
        <charset val="1"/>
      </rPr>
      <t xml:space="preserve">Note: </t>
    </r>
    <r>
      <rPr>
        <sz val="10"/>
        <rFont val="Garamond"/>
        <family val="1"/>
        <charset val="1"/>
      </rPr>
      <t xml:space="preserve">If the item is </t>
    </r>
    <r>
      <rPr>
        <b val="true"/>
        <u val="single"/>
        <sz val="10"/>
        <rFont val="Garamond"/>
        <family val="1"/>
        <charset val="1"/>
      </rPr>
      <t xml:space="preserve">not</t>
    </r>
    <r>
      <rPr>
        <sz val="10"/>
        <rFont val="Garamond"/>
        <family val="1"/>
        <charset val="1"/>
      </rPr>
      <t xml:space="preserve"> electronic or a trailer, it belongs to 7 year property below. For trailers, put in comments whether it is licensed.</t>
    </r>
  </si>
  <si>
    <t xml:space="preserve">Purch
Q
T
R</t>
  </si>
  <si>
    <t xml:space="preserve">OA, 
AR or 
FR</t>
  </si>
  <si>
    <r>
      <rPr>
        <b val="true"/>
        <sz val="10"/>
        <rFont val="Garamond"/>
        <family val="1"/>
        <charset val="1"/>
      </rPr>
      <t xml:space="preserve">Equipment
(purchases or value 
&gt; $2000 each)
</t>
    </r>
    <r>
      <rPr>
        <sz val="10"/>
        <rFont val="Garamond"/>
        <family val="1"/>
        <charset val="1"/>
      </rPr>
      <t xml:space="preserve">Item Description</t>
    </r>
  </si>
  <si>
    <t xml:space="preserve">Qty</t>
  </si>
  <si>
    <t xml:space="preserve">Purchase Year</t>
  </si>
  <si>
    <t xml:space="preserve">(A)
% This Year from grid below</t>
  </si>
  <si>
    <t xml:space="preserve">Prior Cost or Value</t>
  </si>
  <si>
    <t xml:space="preserve">(B)
Current Cost or Value</t>
  </si>
  <si>
    <t xml:space="preserve">(C)
(Start)
Accum.
Deprec.</t>
  </si>
  <si>
    <t xml:space="preserve">(D)
Depr. This
Year
(A x B)</t>
  </si>
  <si>
    <t xml:space="preserve">(End)
Accum.
Deprec.
(C + D)</t>
  </si>
  <si>
    <t xml:space="preserve">AR</t>
  </si>
  <si>
    <t xml:space="preserve">Pennsic Kitchen Trailer</t>
  </si>
  <si>
    <t xml:space="preserve">Pennsic Storage Trailer</t>
  </si>
  <si>
    <t xml:space="preserve">5 YEAR TOTAL </t>
  </si>
  <si>
    <t xml:space="preserve">MACRS Schedule 5 Year</t>
  </si>
  <si>
    <r>
      <rPr>
        <b val="true"/>
        <i val="true"/>
        <sz val="10"/>
        <rFont val="Garamond"/>
        <family val="1"/>
        <charset val="1"/>
      </rPr>
      <t xml:space="preserve">NOTE: </t>
    </r>
    <r>
      <rPr>
        <i val="true"/>
        <sz val="10"/>
        <rFont val="Garamond"/>
        <family val="1"/>
        <charset val="1"/>
      </rPr>
      <t xml:space="preserve">Depreciation this year (D) is only calculated during 4th quarter for the year.</t>
    </r>
  </si>
  <si>
    <t xml:space="preserve">Year Purchased</t>
  </si>
  <si>
    <t xml:space="preserve">Percent to depreciate by year</t>
  </si>
  <si>
    <t xml:space="preserve">7 Year Depreciation:</t>
  </si>
  <si>
    <r>
      <rPr>
        <sz val="10"/>
        <rFont val="Garamond"/>
        <family val="1"/>
        <charset val="1"/>
      </rPr>
      <t xml:space="preserve">Seven year assets are all assets </t>
    </r>
    <r>
      <rPr>
        <b val="true"/>
        <u val="single"/>
        <sz val="10"/>
        <rFont val="Garamond"/>
        <family val="1"/>
        <charset val="1"/>
      </rPr>
      <t xml:space="preserve">except</t>
    </r>
    <r>
      <rPr>
        <sz val="10"/>
        <rFont val="Garamond"/>
        <family val="1"/>
        <charset val="1"/>
      </rPr>
      <t xml:space="preserve"> electronic equipment and trailers. Thrones, pavilions, cooking equipment, Crowns etc. are all 7 year assets.</t>
    </r>
  </si>
  <si>
    <r>
      <rPr>
        <b val="true"/>
        <sz val="10"/>
        <rFont val="Garamond"/>
        <family val="1"/>
        <charset val="1"/>
      </rPr>
      <t xml:space="preserve">Equipment
(purchases or value 
&gt; $2000 each)
</t>
    </r>
    <r>
      <rPr>
        <sz val="10"/>
        <rFont val="Garamond"/>
        <family val="1"/>
        <charset val="1"/>
      </rPr>
      <t xml:space="preserve">Item Description </t>
    </r>
  </si>
  <si>
    <t xml:space="preserve">
Prior Cost or Value</t>
  </si>
  <si>
    <t xml:space="preserve">Pavilion</t>
  </si>
  <si>
    <t xml:space="preserve">Pennsic shower</t>
  </si>
  <si>
    <t xml:space="preserve">Thrones</t>
  </si>
  <si>
    <t xml:space="preserve">Pennsic pavilion</t>
  </si>
  <si>
    <t xml:space="preserve">Pennsic gate</t>
  </si>
  <si>
    <t xml:space="preserve">Dayshade</t>
  </si>
  <si>
    <t xml:space="preserve">Pennsic kitchen tent</t>
  </si>
  <si>
    <t xml:space="preserve">TRM Travel Thrones</t>
  </si>
  <si>
    <t xml:space="preserve">TRH Travel Thrones</t>
  </si>
  <si>
    <t xml:space="preserve">7 YEAR TOTAL </t>
  </si>
  <si>
    <t xml:space="preserve">MACRS Schedule 7 Year</t>
  </si>
  <si>
    <t xml:space="preserve">5 Year Total + 7 Year Total</t>
  </si>
  <si>
    <t xml:space="preserve">Pg. 3 I.f</t>
  </si>
  <si>
    <r>
      <rPr>
        <b val="true"/>
        <i val="true"/>
        <sz val="10"/>
        <rFont val="Garamond"/>
        <family val="1"/>
        <charset val="1"/>
      </rPr>
      <t xml:space="preserve">Pg.1 </t>
    </r>
    <r>
      <rPr>
        <b val="true"/>
        <sz val="10"/>
        <rFont val="Garamond"/>
        <family val="1"/>
        <charset val="1"/>
      </rPr>
      <t xml:space="preserve">I.g(Start)</t>
    </r>
  </si>
  <si>
    <t xml:space="preserve">Pg. 4 L 15</t>
  </si>
  <si>
    <t xml:space="preserve">Pg. 3 I.g</t>
  </si>
  <si>
    <t xml:space="preserve">(Start)</t>
  </si>
  <si>
    <t xml:space="preserve">(End)</t>
  </si>
  <si>
    <t xml:space="preserve"> -8-</t>
  </si>
  <si>
    <t xml:space="preserve">OA</t>
  </si>
  <si>
    <t xml:space="preserve">FR</t>
  </si>
  <si>
    <t xml:space="preserve">SCA FUNDS TRANSFERRED DETAIL - IN</t>
  </si>
  <si>
    <t xml:space="preserve">NEW: FUNDS RECEIVED FROM PayPal &amp; SCARS GET REPORTED ON 11.b INCOME DTL!!!</t>
  </si>
  <si>
    <r>
      <rPr>
        <b val="true"/>
        <sz val="11"/>
        <rFont val="Garamond"/>
        <family val="1"/>
        <charset val="1"/>
      </rPr>
      <t xml:space="preserve">Funds transferred from another SCA account </t>
    </r>
    <r>
      <rPr>
        <b val="true"/>
        <i val="true"/>
        <sz val="11"/>
        <rFont val="Garamond"/>
        <family val="1"/>
        <charset val="1"/>
      </rPr>
      <t xml:space="preserve">within</t>
    </r>
    <r>
      <rPr>
        <b val="true"/>
        <sz val="11"/>
        <rFont val="Garamond"/>
        <family val="1"/>
        <charset val="1"/>
      </rPr>
      <t xml:space="preserve"> the Kingdom and </t>
    </r>
    <r>
      <rPr>
        <b val="true"/>
        <i val="true"/>
        <sz val="11"/>
        <rFont val="Garamond"/>
        <family val="1"/>
        <charset val="1"/>
      </rPr>
      <t xml:space="preserve">in the same country</t>
    </r>
    <r>
      <rPr>
        <b val="true"/>
        <sz val="11"/>
        <rFont val="Garamond"/>
        <family val="1"/>
        <charset val="1"/>
      </rPr>
      <t xml:space="preserve">:</t>
    </r>
  </si>
  <si>
    <t xml:space="preserve">WITHIN THE KINGDOM </t>
  </si>
  <si>
    <t xml:space="preserve">Check #</t>
  </si>
  <si>
    <t xml:space="preserve">Check Date</t>
  </si>
  <si>
    <t xml:space="preserve">Fenix</t>
  </si>
  <si>
    <t xml:space="preserve">2185</t>
  </si>
  <si>
    <t xml:space="preserve">Cleftlands</t>
  </si>
  <si>
    <t xml:space="preserve">3161</t>
  </si>
  <si>
    <t xml:space="preserve">Middle Marches</t>
  </si>
  <si>
    <t xml:space="preserve">2012</t>
  </si>
  <si>
    <t xml:space="preserve">Winged Hills</t>
  </si>
  <si>
    <t xml:space="preserve">1082</t>
  </si>
  <si>
    <t xml:space="preserve">Wood End via Tirnewydd</t>
  </si>
  <si>
    <t xml:space="preserve">1122</t>
  </si>
  <si>
    <t xml:space="preserve">Narrental</t>
  </si>
  <si>
    <t xml:space="preserve">Pferdestadt</t>
  </si>
  <si>
    <t xml:space="preserve">Alderford</t>
  </si>
  <si>
    <t xml:space="preserve">Dernhealde</t>
  </si>
  <si>
    <t xml:space="preserve">361</t>
  </si>
  <si>
    <t xml:space="preserve">Sternfeld</t>
  </si>
  <si>
    <t xml:space="preserve">3991</t>
  </si>
  <si>
    <t xml:space="preserve">Brendoken</t>
  </si>
  <si>
    <t xml:space="preserve">1284</t>
  </si>
  <si>
    <t xml:space="preserve">1286</t>
  </si>
  <si>
    <t xml:space="preserve">3184</t>
  </si>
  <si>
    <t xml:space="preserve">Mugmort</t>
  </si>
  <si>
    <t xml:space="preserve">1009</t>
  </si>
  <si>
    <t xml:space="preserve">3187</t>
  </si>
  <si>
    <t xml:space="preserve">Mynydd Seren</t>
  </si>
  <si>
    <t xml:space="preserve">1594</t>
  </si>
  <si>
    <t xml:space="preserve">2186</t>
  </si>
  <si>
    <t xml:space="preserve">Marche of the Marshes</t>
  </si>
  <si>
    <t xml:space="preserve">1098</t>
  </si>
  <si>
    <t xml:space="preserve">1099</t>
  </si>
  <si>
    <t xml:space="preserve">Greyhope</t>
  </si>
  <si>
    <t xml:space="preserve">1263</t>
  </si>
  <si>
    <t xml:space="preserve">3192</t>
  </si>
  <si>
    <t xml:space="preserve">Hawkes Keye</t>
  </si>
  <si>
    <t xml:space="preserve">131</t>
  </si>
  <si>
    <t xml:space="preserve">Rivenstar</t>
  </si>
  <si>
    <t xml:space="preserve">1140</t>
  </si>
  <si>
    <t xml:space="preserve">Total from Free From</t>
  </si>
  <si>
    <t xml:space="preserve">Show TOTAL on Pg. 4 Line 4a</t>
  </si>
  <si>
    <r>
      <rPr>
        <b val="true"/>
        <sz val="11"/>
        <rFont val="Garamond"/>
        <family val="1"/>
        <charset val="1"/>
      </rPr>
      <t xml:space="preserve">Funds transferred from another SCA account </t>
    </r>
    <r>
      <rPr>
        <b val="true"/>
        <i val="true"/>
        <sz val="11"/>
        <rFont val="Garamond"/>
        <family val="1"/>
        <charset val="1"/>
      </rPr>
      <t xml:space="preserve">outside of</t>
    </r>
    <r>
      <rPr>
        <b val="true"/>
        <sz val="11"/>
        <rFont val="Garamond"/>
        <family val="1"/>
        <charset val="1"/>
      </rPr>
      <t xml:space="preserve"> the Kingdom and </t>
    </r>
    <r>
      <rPr>
        <b val="true"/>
        <i val="true"/>
        <sz val="11"/>
        <rFont val="Garamond"/>
        <family val="1"/>
        <charset val="1"/>
      </rPr>
      <t xml:space="preserve">in the same country</t>
    </r>
    <r>
      <rPr>
        <b val="true"/>
        <sz val="11"/>
        <rFont val="Garamond"/>
        <family val="1"/>
        <charset val="1"/>
      </rPr>
      <t xml:space="preserve">:</t>
    </r>
  </si>
  <si>
    <t xml:space="preserve">OUTSIDE THE KINGDOM 
Kingdom and Branch or Account</t>
  </si>
  <si>
    <t xml:space="preserve">Pennsic profit split</t>
  </si>
  <si>
    <t xml:space="preserve">2182</t>
  </si>
  <si>
    <t xml:space="preserve">Show TOTAL on Pg. 4 Line 4b</t>
  </si>
  <si>
    <t xml:space="preserve">-9-</t>
  </si>
  <si>
    <t xml:space="preserve">SCA FUNDS TRANSFERRED DETAIL - OUT</t>
  </si>
  <si>
    <r>
      <rPr>
        <b val="true"/>
        <sz val="11"/>
        <rFont val="Garamond"/>
        <family val="1"/>
        <charset val="1"/>
      </rPr>
      <t xml:space="preserve">Funds transferred to another SCA account </t>
    </r>
    <r>
      <rPr>
        <b val="true"/>
        <i val="true"/>
        <sz val="11"/>
        <rFont val="Garamond"/>
        <family val="1"/>
        <charset val="1"/>
      </rPr>
      <t xml:space="preserve">within</t>
    </r>
    <r>
      <rPr>
        <b val="true"/>
        <sz val="11"/>
        <rFont val="Garamond"/>
        <family val="1"/>
        <charset val="1"/>
      </rPr>
      <t xml:space="preserve"> the Kingdom and </t>
    </r>
    <r>
      <rPr>
        <b val="true"/>
        <i val="true"/>
        <sz val="11"/>
        <rFont val="Garamond"/>
        <family val="1"/>
        <charset val="1"/>
      </rPr>
      <t xml:space="preserve">in the same country</t>
    </r>
    <r>
      <rPr>
        <b val="true"/>
        <sz val="11"/>
        <rFont val="Garamond"/>
        <family val="1"/>
        <charset val="1"/>
      </rPr>
      <t xml:space="preserve">:</t>
    </r>
  </si>
  <si>
    <t xml:space="preserve">WITHIN THE KINGDOM</t>
  </si>
  <si>
    <t xml:space="preserve">RUM transfer of funds held by Kingdom to new RUM account in Indiana</t>
  </si>
  <si>
    <t xml:space="preserve">3770</t>
  </si>
  <si>
    <t xml:space="preserve">Derneheald--Gulf Wars volunteer hours</t>
  </si>
  <si>
    <t xml:space="preserve">3798</t>
  </si>
  <si>
    <t xml:space="preserve">Red Spears - Gulf Wars Volunteer Hours</t>
  </si>
  <si>
    <t xml:space="preserve">3799</t>
  </si>
  <si>
    <t xml:space="preserve">Transfer MK savings to checking</t>
  </si>
  <si>
    <t xml:space="preserve">na</t>
  </si>
  <si>
    <t xml:space="preserve">Show TOTAL on Pg. 4 Line 30a</t>
  </si>
  <si>
    <r>
      <rPr>
        <b val="true"/>
        <sz val="11"/>
        <rFont val="Garamond"/>
        <family val="1"/>
        <charset val="1"/>
      </rPr>
      <t xml:space="preserve">Funds transferred to another SCA account </t>
    </r>
    <r>
      <rPr>
        <b val="true"/>
        <i val="true"/>
        <sz val="11"/>
        <rFont val="Garamond"/>
        <family val="1"/>
        <charset val="1"/>
      </rPr>
      <t xml:space="preserve">outside of</t>
    </r>
    <r>
      <rPr>
        <b val="true"/>
        <sz val="11"/>
        <rFont val="Garamond"/>
        <family val="1"/>
        <charset val="1"/>
      </rPr>
      <t xml:space="preserve"> the Kingdom and </t>
    </r>
    <r>
      <rPr>
        <b val="true"/>
        <i val="true"/>
        <sz val="11"/>
        <rFont val="Garamond"/>
        <family val="1"/>
        <charset val="1"/>
      </rPr>
      <t xml:space="preserve">in the same country</t>
    </r>
    <r>
      <rPr>
        <b val="true"/>
        <sz val="11"/>
        <rFont val="Garamond"/>
        <family val="1"/>
        <charset val="1"/>
      </rPr>
      <t xml:space="preserve">:</t>
    </r>
  </si>
  <si>
    <t xml:space="preserve">(A) THE CORPORATE OFFICE OR OFFICER
Office and Reason</t>
  </si>
  <si>
    <t xml:space="preserve">Society Novermber NMR</t>
  </si>
  <si>
    <t xml:space="preserve">Society Dec NMR</t>
  </si>
  <si>
    <t xml:space="preserve">Society Jan nmr</t>
  </si>
  <si>
    <t xml:space="preserve">Society Background check</t>
  </si>
  <si>
    <t xml:space="preserve">SCA NMR Feb</t>
  </si>
  <si>
    <t xml:space="preserve">SCA NMR March</t>
  </si>
  <si>
    <t xml:space="preserve">SA NMR April</t>
  </si>
  <si>
    <t xml:space="preserve">SCA NMR May</t>
  </si>
  <si>
    <t xml:space="preserve">SCA NMR June</t>
  </si>
  <si>
    <t xml:space="preserve">TOTAL (A)  </t>
  </si>
  <si>
    <t xml:space="preserve">(B) OUTSIDE THE KINGDOM, SAME COUNTRY
Kingdom and Branch or Account</t>
  </si>
  <si>
    <t xml:space="preserve">TOTAL (B)  </t>
  </si>
  <si>
    <t xml:space="preserve">TOTAL TRANSFERS TO OUTSIDE THE KINGDOM:  [(A)+(B)]</t>
  </si>
  <si>
    <t xml:space="preserve">Pg. 4 Line 30b</t>
  </si>
  <si>
    <t xml:space="preserve">-10-</t>
  </si>
  <si>
    <t xml:space="preserve">INCOME DETAIL PART 1</t>
  </si>
  <si>
    <r>
      <rPr>
        <b val="true"/>
        <sz val="11"/>
        <rFont val="Garamond"/>
        <family val="1"/>
        <charset val="1"/>
      </rPr>
      <t xml:space="preserve">1a. FUNDRAISING INCOME (INTERNAL) </t>
    </r>
    <r>
      <rPr>
        <sz val="11"/>
        <rFont val="Garamond"/>
        <family val="1"/>
        <charset val="1"/>
      </rPr>
      <t xml:space="preserve">Event</t>
    </r>
  </si>
  <si>
    <t xml:space="preserve">Activity at the event</t>
  </si>
  <si>
    <t xml:space="preserve">Better War Slient Auction --John Elmore</t>
  </si>
  <si>
    <t xml:space="preserve">Slient Auction for Pennsic Archery</t>
  </si>
  <si>
    <t xml:space="preserve">Decal sales</t>
  </si>
  <si>
    <t xml:space="preserve">Harvesst Days</t>
  </si>
  <si>
    <t xml:space="preserve">Silent Auction</t>
  </si>
  <si>
    <t xml:space="preserve">Show TOTAL on Pg. 4 Line 1a</t>
  </si>
  <si>
    <r>
      <rPr>
        <b val="true"/>
        <sz val="11"/>
        <rFont val="Garamond"/>
        <family val="1"/>
        <charset val="1"/>
      </rPr>
      <t xml:space="preserve">1b. FUNDRAISING INCOME (EXTERNAL) </t>
    </r>
    <r>
      <rPr>
        <sz val="11"/>
        <rFont val="Garamond"/>
        <family val="1"/>
        <charset val="1"/>
      </rPr>
      <t xml:space="preserve">Place</t>
    </r>
  </si>
  <si>
    <t xml:space="preserve">Activity</t>
  </si>
  <si>
    <t xml:space="preserve">Show TOTAL on Pg. 4 Line 1b</t>
  </si>
  <si>
    <t xml:space="preserve">2. DIRECT CONTRIBUTIONS</t>
  </si>
  <si>
    <t xml:space="preserve">a) Donations received without consideration -  List each transaction on INCOME_DTL_11c Worksheet</t>
  </si>
  <si>
    <t xml:space="preserve">Show TOTAL on Pg. 4 Line 2</t>
  </si>
  <si>
    <r>
      <rPr>
        <b val="true"/>
        <sz val="11"/>
        <rFont val="Garamond"/>
        <family val="1"/>
        <charset val="1"/>
      </rPr>
      <t xml:space="preserve">3a. INCOME FROM DEMOS AND ACTIVITY FEES </t>
    </r>
    <r>
      <rPr>
        <sz val="11"/>
        <rFont val="Garamond"/>
        <family val="1"/>
        <charset val="1"/>
      </rPr>
      <t xml:space="preserve">From</t>
    </r>
  </si>
  <si>
    <t xml:space="preserve">Show TOTAL on Pg. 4 Line 3a</t>
  </si>
  <si>
    <t xml:space="preserve">-11a-</t>
  </si>
  <si>
    <t xml:space="preserve">INCOME DETAIL PART 2</t>
  </si>
  <si>
    <t xml:space="preserve">DO NOT INCLUDE CASH BOX START UP MONEY IN EVENT INCOME. </t>
  </si>
  <si>
    <t xml:space="preserve">3b. ADJUSTED GROSS EVENT INCOME</t>
  </si>
  <si>
    <t xml:space="preserve">Event Name</t>
  </si>
  <si>
    <t xml:space="preserve">(A) Gross Gate
Income (+ NMR)</t>
  </si>
  <si>
    <t xml:space="preserve">(B) 
Total Refunds</t>
  </si>
  <si>
    <t xml:space="preserve">(A-B) 
Adj. Gross Income</t>
  </si>
  <si>
    <t xml:space="preserve">TOTAL (A)</t>
  </si>
  <si>
    <t xml:space="preserve">PayPal &amp; SCARS Income: Event Name</t>
  </si>
  <si>
    <t xml:space="preserve"> PayPal             SCARS</t>
  </si>
  <si>
    <t xml:space="preserve">Transaction fees</t>
  </si>
  <si>
    <t xml:space="preserve">Actual amount received</t>
  </si>
  <si>
    <t xml:space="preserve">TOTAL (B)</t>
  </si>
  <si>
    <t xml:space="preserve">Show TOTAL [(A)+(B)] on Pg. 4 Line 3b</t>
  </si>
  <si>
    <r>
      <rPr>
        <b val="true"/>
        <sz val="11"/>
        <rFont val="Garamond"/>
        <family val="1"/>
        <charset val="1"/>
      </rPr>
      <t xml:space="preserve">7. NET ADVERTISING INCOME 
</t>
    </r>
    <r>
      <rPr>
        <sz val="11"/>
        <rFont val="Garamond"/>
        <family val="1"/>
        <charset val="1"/>
      </rPr>
      <t xml:space="preserve">Publication/Issue/Event</t>
    </r>
  </si>
  <si>
    <t xml:space="preserve">(A) 
Gross Income</t>
  </si>
  <si>
    <t xml:space="preserve">(B) 
Advertising Cost</t>
  </si>
  <si>
    <t xml:space="preserve">(A-B) 
Net Income</t>
  </si>
  <si>
    <t xml:space="preserve">Show TOTALS on Pg. 4 Line 9</t>
  </si>
  <si>
    <t xml:space="preserve">CONTACT YOUR KINGDOM EXCHEQUER BEFORE USING THIS SECTION FOR ANYTHING OTHER THAN STALE CHECKS!</t>
  </si>
  <si>
    <t xml:space="preserve">Use this section now for stale checks, recovered bad debts from previous end-of-year reports. These are not to be listed as donations.</t>
  </si>
  <si>
    <r>
      <rPr>
        <b val="true"/>
        <sz val="11"/>
        <rFont val="Garamond"/>
        <family val="1"/>
        <charset val="1"/>
      </rPr>
      <t xml:space="preserve">10. OTHER INCOME </t>
    </r>
    <r>
      <rPr>
        <sz val="11"/>
        <rFont val="Garamond"/>
        <family val="1"/>
        <charset val="1"/>
      </rPr>
      <t xml:space="preserve"> Description</t>
    </r>
  </si>
  <si>
    <t xml:space="preserve">Show TOTAL on Pg. 4 Line 10</t>
  </si>
  <si>
    <t xml:space="preserve">-11b-</t>
  </si>
  <si>
    <t xml:space="preserve">INCOME DETAIL PART 3</t>
  </si>
  <si>
    <t xml:space="preserve">2a. DONATIONS - NON SCA - Received without consideration (Money  from other organizations other than SCA, Inc. </t>
  </si>
  <si>
    <t xml:space="preserve">Name of Organization or Individual</t>
  </si>
  <si>
    <t xml:space="preserve">Date Received </t>
  </si>
  <si>
    <t xml:space="preserve">2b. DONATIONS - SCA RELATED - Money received from either SCA, Inc if your group is a subsidiary or if your receiving money from a subsidiary if your group is part of SCA, INC.</t>
  </si>
  <si>
    <t xml:space="preserve">Group Name and Kingdom</t>
  </si>
  <si>
    <t xml:space="preserve">SCA Inc IL Wurm Wald</t>
  </si>
  <si>
    <t xml:space="preserve">Maidens NMR</t>
  </si>
  <si>
    <t xml:space="preserve">1001</t>
  </si>
  <si>
    <t xml:space="preserve">SCA Inc MI Andelcrag</t>
  </si>
  <si>
    <t xml:space="preserve">Winter Revel NMR</t>
  </si>
  <si>
    <t xml:space="preserve">1159</t>
  </si>
  <si>
    <t xml:space="preserve">SCA Inc. IL Illiton</t>
  </si>
  <si>
    <t xml:space="preserve">Midlands 12th night NMR</t>
  </si>
  <si>
    <t xml:space="preserve">2043</t>
  </si>
  <si>
    <t xml:space="preserve">SCA Inc MI Wealdlake</t>
  </si>
  <si>
    <t xml:space="preserve">Grand Tour NMR</t>
  </si>
  <si>
    <t xml:space="preserve">1189</t>
  </si>
  <si>
    <t xml:space="preserve">SCA Inc. MI Three Hills</t>
  </si>
  <si>
    <t xml:space="preserve">Val Day NMR</t>
  </si>
  <si>
    <t xml:space="preserve">343</t>
  </si>
  <si>
    <t xml:space="preserve">Val Day /TOC Profit Split</t>
  </si>
  <si>
    <t xml:space="preserve">344</t>
  </si>
  <si>
    <t xml:space="preserve">Ealdorwudna</t>
  </si>
  <si>
    <t xml:space="preserve">Pentamere 12th night</t>
  </si>
  <si>
    <t xml:space="preserve">Swordcliff</t>
  </si>
  <si>
    <t xml:space="preserve">Midlands Village Green NMR</t>
  </si>
  <si>
    <t xml:space="preserve">1603</t>
  </si>
  <si>
    <t xml:space="preserve">Dark River</t>
  </si>
  <si>
    <t xml:space="preserve">Courting on the River NMR</t>
  </si>
  <si>
    <t xml:space="preserve">5084</t>
  </si>
  <si>
    <t xml:space="preserve">Andelcrag</t>
  </si>
  <si>
    <t xml:space="preserve">Pentamere Missle Weapons College NMR</t>
  </si>
  <si>
    <t xml:space="preserve">1166</t>
  </si>
  <si>
    <t xml:space="preserve">Cynnabar</t>
  </si>
  <si>
    <t xml:space="preserve">Terpsichore at the Tower NMS</t>
  </si>
  <si>
    <t xml:space="preserve">1556</t>
  </si>
  <si>
    <t xml:space="preserve">Shattered Crystal</t>
  </si>
  <si>
    <t xml:space="preserve">Crystal Chamfron NMR</t>
  </si>
  <si>
    <t xml:space="preserve">1474</t>
  </si>
  <si>
    <t xml:space="preserve">Rokkehealdan</t>
  </si>
  <si>
    <t xml:space="preserve">Daye of Playe NMR</t>
  </si>
  <si>
    <t xml:space="preserve">1056</t>
  </si>
  <si>
    <t xml:space="preserve">Roaring Waste</t>
  </si>
  <si>
    <t xml:space="preserve">Quest for the Golden Seamstress NMR</t>
  </si>
  <si>
    <t xml:space="preserve">1042</t>
  </si>
  <si>
    <t xml:space="preserve">Baile na Scolari</t>
  </si>
  <si>
    <t xml:space="preserve">Awakenings NMR</t>
  </si>
  <si>
    <t xml:space="preserve">1600</t>
  </si>
  <si>
    <t xml:space="preserve">Hawkland Moor</t>
  </si>
  <si>
    <t xml:space="preserve">Smurf Shoot</t>
  </si>
  <si>
    <t xml:space="preserve">1449</t>
  </si>
  <si>
    <t xml:space="preserve">Wealdlake</t>
  </si>
  <si>
    <t xml:space="preserve">It Takes My Child NMR</t>
  </si>
  <si>
    <t xml:space="preserve">1192</t>
  </si>
  <si>
    <t xml:space="preserve">St. Cecilia</t>
  </si>
  <si>
    <t xml:space="preserve">1561</t>
  </si>
  <si>
    <t xml:space="preserve">Baronial Border Wars</t>
  </si>
  <si>
    <t xml:space="preserve">1178</t>
  </si>
  <si>
    <t xml:space="preserve">Tyger Hunt</t>
  </si>
  <si>
    <t xml:space="preserve">1452</t>
  </si>
  <si>
    <t xml:space="preserve">Illiton</t>
  </si>
  <si>
    <t xml:space="preserve">Rites of Summer NMR</t>
  </si>
  <si>
    <t xml:space="preserve">2048</t>
  </si>
  <si>
    <t xml:space="preserve">2049</t>
  </si>
  <si>
    <t xml:space="preserve">Carraig Ban</t>
  </si>
  <si>
    <t xml:space="preserve">Ragnarok Rampage</t>
  </si>
  <si>
    <t xml:space="preserve">2239</t>
  </si>
  <si>
    <t xml:space="preserve">Reign of Arrows</t>
  </si>
  <si>
    <t xml:space="preserve">1457</t>
  </si>
  <si>
    <t xml:space="preserve">Medieval Threads</t>
  </si>
  <si>
    <t xml:space="preserve">1198</t>
  </si>
  <si>
    <t xml:space="preserve">Donnershafen</t>
  </si>
  <si>
    <t xml:space="preserve">Vikings Come Home</t>
  </si>
  <si>
    <t xml:space="preserve">1670</t>
  </si>
  <si>
    <t xml:space="preserve">Midrealm Volunteer Hours</t>
  </si>
  <si>
    <t xml:space="preserve">2660</t>
  </si>
  <si>
    <t xml:space="preserve">Baroness Wars NMR</t>
  </si>
  <si>
    <t xml:space="preserve">1613</t>
  </si>
  <si>
    <t xml:space="preserve">Total from Free Form</t>
  </si>
  <si>
    <t xml:space="preserve">-11c-</t>
  </si>
  <si>
    <t xml:space="preserve">EXPENSE DETAIL PART 1</t>
  </si>
  <si>
    <t xml:space="preserve">Remember to select the category in the far left column.</t>
  </si>
  <si>
    <t xml:space="preserve">OA, AR or FR</t>
  </si>
  <si>
    <t xml:space="preserve">12. ADVERTISING (NON-SCA)</t>
  </si>
  <si>
    <t xml:space="preserve">Organization or Periodical (Not a kingdom newsletter) and date ad was published</t>
  </si>
  <si>
    <t xml:space="preserve">Show TOTAL on Pg. 4 Line 12</t>
  </si>
  <si>
    <t xml:space="preserve">13. BAD DEBTS</t>
  </si>
  <si>
    <t xml:space="preserve">Organization or Person</t>
  </si>
  <si>
    <t xml:space="preserve">Show TOTAL on Pg. 4 Line 13</t>
  </si>
  <si>
    <t xml:space="preserve">17. FEES &amp; HONORARIA</t>
  </si>
  <si>
    <t xml:space="preserve">Service Provided</t>
  </si>
  <si>
    <t xml:space="preserve">Google</t>
  </si>
  <si>
    <t xml:space="preserve">Web servcies</t>
  </si>
  <si>
    <t xml:space="preserve">Zoom</t>
  </si>
  <si>
    <t xml:space="preserve">David Young --Heroku charges</t>
  </si>
  <si>
    <t xml:space="preserve">Theresa Fredette --Revion</t>
  </si>
  <si>
    <t xml:space="preserve">David Young Cloudways</t>
  </si>
  <si>
    <t xml:space="preserve">Show TOTAL on Pg. 4 Line 17</t>
  </si>
  <si>
    <t xml:space="preserve">-12a-</t>
  </si>
  <si>
    <t xml:space="preserve">EXPENSE DETAIL PART 2</t>
  </si>
  <si>
    <t xml:space="preserve">20. INSURANCE (NON-SCA)</t>
  </si>
  <si>
    <t xml:space="preserve">Show TOTAL on Pg. 4 Line 20</t>
  </si>
  <si>
    <t xml:space="preserve">CONTACT YOUR KINGDOM EXCHEQUER BEFORE USING THIS SECTION!</t>
  </si>
  <si>
    <t xml:space="preserve">28. OTHER EXPENSES: </t>
  </si>
  <si>
    <t xml:space="preserve">Paid to</t>
  </si>
  <si>
    <t xml:space="preserve">Show TOTAL on Pg. 4 Line 28</t>
  </si>
  <si>
    <t xml:space="preserve">29. DONATIONS TO SCA, Inc. SUBSIDIARIES AND OTHER </t>
  </si>
  <si>
    <t xml:space="preserve">FED ID Number</t>
  </si>
  <si>
    <r>
      <rPr>
        <b val="true"/>
        <sz val="9"/>
        <rFont val="Garamond"/>
        <family val="1"/>
        <charset val="1"/>
      </rPr>
      <t xml:space="preserve">501(c)(3) [NONPROFIT] ORGANIZATIONS:  </t>
    </r>
    <r>
      <rPr>
        <sz val="9"/>
        <rFont val="Garamond"/>
        <family val="1"/>
        <charset val="1"/>
      </rPr>
      <t xml:space="preserve">Organization Name:</t>
    </r>
  </si>
  <si>
    <t xml:space="preserve">SCA IL Shattered Crystal</t>
  </si>
  <si>
    <t xml:space="preserve">Gulf Wars volunteer hours</t>
  </si>
  <si>
    <t xml:space="preserve">3796</t>
  </si>
  <si>
    <t xml:space="preserve">9-19-25</t>
  </si>
  <si>
    <t xml:space="preserve">SCA MI Three Hills</t>
  </si>
  <si>
    <t xml:space="preserve">3797</t>
  </si>
  <si>
    <t xml:space="preserve">Show TOTAL on Pg. 4 Line 29</t>
  </si>
  <si>
    <t xml:space="preserve">-12b-</t>
  </si>
  <si>
    <t xml:space="preserve">FINANCIAL COMMITTEE MEMBERSHIP</t>
  </si>
  <si>
    <t xml:space="preserve">Mark Only One:</t>
  </si>
  <si>
    <r>
      <rPr>
        <sz val="10"/>
        <rFont val="Garamond"/>
        <family val="1"/>
        <charset val="1"/>
      </rPr>
      <t xml:space="preserve">Financial Committee consists of Seneschal, Exchequer, and all other paid members </t>
    </r>
    <r>
      <rPr>
        <b val="true"/>
        <sz val="10"/>
        <rFont val="Garamond"/>
        <family val="1"/>
        <charset val="1"/>
      </rPr>
      <t xml:space="preserve">in the branch</t>
    </r>
    <r>
      <rPr>
        <sz val="10"/>
        <rFont val="Garamond"/>
        <family val="1"/>
        <charset val="1"/>
      </rPr>
      <t xml:space="preserve">.</t>
    </r>
  </si>
  <si>
    <r>
      <rPr>
        <sz val="10"/>
        <rFont val="Garamond"/>
        <family val="1"/>
        <charset val="1"/>
      </rPr>
      <t xml:space="preserve">Financial Committee consists of Seneschal, Exchequer, and all other paid members </t>
    </r>
    <r>
      <rPr>
        <b val="true"/>
        <sz val="10"/>
        <rFont val="Garamond"/>
        <family val="1"/>
        <charset val="1"/>
      </rPr>
      <t xml:space="preserve">voting</t>
    </r>
    <r>
      <rPr>
        <sz val="10"/>
        <rFont val="Garamond"/>
        <family val="1"/>
        <charset val="1"/>
      </rPr>
      <t xml:space="preserve"> </t>
    </r>
    <r>
      <rPr>
        <b val="true"/>
        <sz val="10"/>
        <rFont val="Garamond"/>
        <family val="1"/>
        <charset val="1"/>
      </rPr>
      <t xml:space="preserve">at a meeting</t>
    </r>
    <r>
      <rPr>
        <sz val="10"/>
        <rFont val="Garamond"/>
        <family val="1"/>
        <charset val="1"/>
      </rPr>
      <t xml:space="preserve">.</t>
    </r>
  </si>
  <si>
    <t xml:space="preserve">X</t>
  </si>
  <si>
    <t xml:space="preserve">Financial Committee consists of Seneschal, Exchequer, and other specified individuals below.</t>
  </si>
  <si>
    <t xml:space="preserve">Modern Name</t>
  </si>
  <si>
    <t xml:space="preserve">Membership</t>
  </si>
  <si>
    <t xml:space="preserve">Expiration</t>
  </si>
  <si>
    <t xml:space="preserve">SCA Name</t>
  </si>
  <si>
    <t xml:space="preserve">Number</t>
  </si>
  <si>
    <t xml:space="preserve">mm/yyyy</t>
  </si>
  <si>
    <t xml:space="preserve">Arabella Silvermane</t>
  </si>
  <si>
    <t xml:space="preserve">Marshal</t>
  </si>
  <si>
    <t xml:space="preserve">MOAS</t>
  </si>
  <si>
    <t xml:space="preserve">Prince</t>
  </si>
  <si>
    <t xml:space="preserve">Joshua Kelley</t>
  </si>
  <si>
    <t xml:space="preserve">Wigthegn</t>
  </si>
  <si>
    <t xml:space="preserve">Princess</t>
  </si>
  <si>
    <t xml:space="preserve">Casey Kelley</t>
  </si>
  <si>
    <t xml:space="preserve">Neassa</t>
  </si>
  <si>
    <t xml:space="preserve">King</t>
  </si>
  <si>
    <t xml:space="preserve">Queen</t>
  </si>
  <si>
    <t xml:space="preserve">-13-</t>
  </si>
  <si>
    <t xml:space="preserve">DEDICATED FUND LIST</t>
  </si>
  <si>
    <t xml:space="preserve">Use this form only if you manage multiple funds within your group's accounts. This is a list of all funds and their current balances </t>
  </si>
  <si>
    <t xml:space="preserve">as of the end date on this report. The total of all funds must equal the total ending cash from the Balance Sheet.</t>
  </si>
  <si>
    <t xml:space="preserve">Total of lines I.a (End) and I.b (End) on the Comparative Balance Sheet - CASH:</t>
  </si>
  <si>
    <t xml:space="preserve">Name of Fund</t>
  </si>
  <si>
    <t xml:space="preserve">  Purpose of Fund</t>
  </si>
  <si>
    <t xml:space="preserve">End-of-Period</t>
  </si>
  <si>
    <t xml:space="preserve">General Fund</t>
  </si>
  <si>
    <t xml:space="preserve">All Non-Dedicated Funds</t>
  </si>
  <si>
    <t xml:space="preserve">RUM</t>
  </si>
  <si>
    <t xml:space="preserve">RUM Expenses</t>
  </si>
  <si>
    <t xml:space="preserve">TOTAL:</t>
  </si>
  <si>
    <t xml:space="preserve">-14-</t>
  </si>
  <si>
    <t xml:space="preserve">NEWSLETTER INCOME WORKSHEET</t>
  </si>
  <si>
    <t xml:space="preserve">Use this form only if you sell issues of your newsletter.  </t>
  </si>
  <si>
    <t xml:space="preserve">Newsletter Name:</t>
  </si>
  <si>
    <t xml:space="preserve">Gross Income:</t>
  </si>
  <si>
    <t xml:space="preserve">If you sell issues IN ADVANCE using subscriptions, fill in the sections below.</t>
  </si>
  <si>
    <t xml:space="preserve">Gross Income (A)</t>
  </si>
  <si>
    <t xml:space="preserve">For calculating price per Issue:</t>
  </si>
  <si>
    <t xml:space="preserve">Rate 1</t>
  </si>
  <si>
    <t xml:space="preserve">Rate 2</t>
  </si>
  <si>
    <t xml:space="preserve">Start Subs Due (B)</t>
  </si>
  <si>
    <t xml:space="preserve">Price of one subscription:</t>
  </si>
  <si>
    <t xml:space="preserve">End Subs Due (C)</t>
  </si>
  <si>
    <t xml:space="preserve"># of Issues per Subscription:</t>
  </si>
  <si>
    <t xml:space="preserve">Adj. Gross Income (A+B-C)</t>
  </si>
  <si>
    <t xml:space="preserve">Price Per Issue:</t>
  </si>
  <si>
    <t xml:space="preserve">(B1)</t>
  </si>
  <si>
    <t xml:space="preserve">(C1)</t>
  </si>
  <si>
    <t xml:space="preserve">(A) x (B1) x (C1)</t>
  </si>
  <si>
    <t xml:space="preserve">(B2)</t>
  </si>
  <si>
    <t xml:space="preserve">(C2)</t>
  </si>
  <si>
    <t xml:space="preserve">(A) x (B2) x (C2)</t>
  </si>
  <si>
    <t xml:space="preserve"># of Issues</t>
  </si>
  <si>
    <t xml:space="preserve"># of Subs</t>
  </si>
  <si>
    <t xml:space="preserve">Price per Issue</t>
  </si>
  <si>
    <t xml:space="preserve">Balance of </t>
  </si>
  <si>
    <t xml:space="preserve">Remaining</t>
  </si>
  <si>
    <t xml:space="preserve">Expiring </t>
  </si>
  <si>
    <t xml:space="preserve">Subscription Due</t>
  </si>
  <si>
    <t xml:space="preserve">BEYOND 36 ISSUES</t>
  </si>
  <si>
    <t xml:space="preserve">Calculate Separately</t>
  </si>
  <si>
    <t xml:space="preserve">Total :</t>
  </si>
  <si>
    <t xml:space="preserve">-15-</t>
  </si>
  <si>
    <r>
      <rPr>
        <sz val="10"/>
        <rFont val="Garamond"/>
        <family val="1"/>
        <charset val="1"/>
      </rPr>
      <t xml:space="preserve">Complete one column for each </t>
    </r>
    <r>
      <rPr>
        <b val="true"/>
        <sz val="10"/>
        <rFont val="Garamond"/>
        <family val="1"/>
        <charset val="1"/>
      </rPr>
      <t xml:space="preserve">secondary</t>
    </r>
    <r>
      <rPr>
        <sz val="10"/>
        <rFont val="Garamond"/>
        <family val="1"/>
        <charset val="1"/>
      </rPr>
      <t xml:space="preserve"> bank account held and managed by this Society branch or office.  </t>
    </r>
  </si>
  <si>
    <t xml:space="preserve">Attach copies of the bank statements which include ending date of period and reconciliation for each account.</t>
  </si>
  <si>
    <t xml:space="preserve">-2c-</t>
  </si>
  <si>
    <t xml:space="preserve">-2d-</t>
  </si>
  <si>
    <t xml:space="preserve">ASSET DETAIL - OVERFLOW</t>
  </si>
  <si>
    <t xml:space="preserve">toward a site's occupancy payment. We are still owed the product or service for which that payment is related, or a refund.</t>
  </si>
  <si>
    <t xml:space="preserve">-5c-</t>
  </si>
  <si>
    <t xml:space="preserve">LIABILITY DETAIL - OVERFLOW</t>
  </si>
  <si>
    <t xml:space="preserve">-5d-</t>
  </si>
  <si>
    <t xml:space="preserve">INVENTORY DETAIL - OVERFLOW</t>
  </si>
  <si>
    <t xml:space="preserve">Lot Item Description</t>
  </si>
  <si>
    <t xml:space="preserve">-6b-</t>
  </si>
  <si>
    <t xml:space="preserve">OTHER SALES DETAIL - OVERFLOW</t>
  </si>
  <si>
    <t xml:space="preserve">REGALIA &amp; NON-DEPRECIATED EQUIPMENT</t>
  </si>
  <si>
    <t xml:space="preserve">DON’T USE THIS SECTION ANYMORE!</t>
  </si>
  <si>
    <t xml:space="preserve">Pg. 3 I.e (Start)</t>
  </si>
  <si>
    <t xml:space="preserve">Pg. 31a, Line 2.c</t>
  </si>
  <si>
    <t xml:space="preserve">Pg. 3 I.e (End)</t>
  </si>
  <si>
    <r>
      <rPr>
        <b val="true"/>
        <sz val="11"/>
        <rFont val="Garamond"/>
        <family val="1"/>
        <charset val="1"/>
      </rPr>
      <t xml:space="preserve">OTHER SALES INCOME</t>
    </r>
    <r>
      <rPr>
        <b val="true"/>
        <sz val="10"/>
        <rFont val="Garamond"/>
        <family val="1"/>
        <charset val="1"/>
      </rPr>
      <t xml:space="preserve"> </t>
    </r>
    <r>
      <rPr>
        <sz val="10"/>
        <rFont val="Garamond"/>
        <family val="1"/>
        <charset val="1"/>
      </rPr>
      <t xml:space="preserve">(not reported as Major Inventory):</t>
    </r>
  </si>
  <si>
    <t xml:space="preserve">(1) Minor Inventory 
(Not reported as Major Inventory, and expensed as Supplies when purchased)</t>
  </si>
  <si>
    <r>
      <rPr>
        <b val="true"/>
        <sz val="10"/>
        <rFont val="Garamond"/>
        <family val="1"/>
        <charset val="1"/>
      </rPr>
      <t xml:space="preserve">(2) Released or Sold Asset
</t>
    </r>
    <r>
      <rPr>
        <sz val="10"/>
        <rFont val="Garamond"/>
        <family val="1"/>
        <charset val="1"/>
      </rPr>
      <t xml:space="preserve">(listed on pg 7 or 8 in a prior report)</t>
    </r>
  </si>
  <si>
    <t xml:space="preserve">-7b-</t>
  </si>
  <si>
    <t xml:space="preserve">DEPRECIATION DETAIL - OVERFLOW - 5 YEAR</t>
  </si>
  <si>
    <t xml:space="preserve">To remove an item previously listed, do not list it here. Instead, list it on the bottom of page 7 for reported equipment.</t>
  </si>
  <si>
    <r>
      <rPr>
        <b val="true"/>
        <sz val="10"/>
        <rFont val="Garamond"/>
        <family val="1"/>
        <charset val="1"/>
      </rPr>
      <t xml:space="preserve">Note: </t>
    </r>
    <r>
      <rPr>
        <sz val="10"/>
        <rFont val="Garamond"/>
        <family val="1"/>
        <charset val="1"/>
      </rPr>
      <t xml:space="preserve">If the item is </t>
    </r>
    <r>
      <rPr>
        <b val="true"/>
        <u val="single"/>
        <sz val="10"/>
        <rFont val="Garamond"/>
        <family val="1"/>
        <charset val="1"/>
      </rPr>
      <t xml:space="preserve">not</t>
    </r>
    <r>
      <rPr>
        <sz val="10"/>
        <rFont val="Garamond"/>
        <family val="1"/>
        <charset val="1"/>
      </rPr>
      <t xml:space="preserve"> electronic or a trailer, it belongs to 7 year property. For trailers, put in comments whether it is licensed.</t>
    </r>
  </si>
  <si>
    <t xml:space="preserve"> -8b-</t>
  </si>
  <si>
    <t xml:space="preserve">DEPRECIATION DETAIL - OVERFLOW - 7 YEAR</t>
  </si>
  <si>
    <r>
      <rPr>
        <sz val="9"/>
        <rFont val="Garamond"/>
        <family val="1"/>
        <charset val="1"/>
      </rPr>
      <t xml:space="preserve">Seven year assets are all assets </t>
    </r>
    <r>
      <rPr>
        <b val="true"/>
        <u val="single"/>
        <sz val="9"/>
        <rFont val="Garamond"/>
        <family val="1"/>
        <charset val="1"/>
      </rPr>
      <t xml:space="preserve">except</t>
    </r>
    <r>
      <rPr>
        <sz val="9"/>
        <rFont val="Garamond"/>
        <family val="1"/>
        <charset val="1"/>
      </rPr>
      <t xml:space="preserve"> electronic equipment and trailers. Thrones, pavilions, cooking equipment, Crowns etc. are all 7 year assets.</t>
    </r>
  </si>
  <si>
    <t xml:space="preserve"> -8c-</t>
  </si>
  <si>
    <t xml:space="preserve">SCA FUNDS TRANSFERRED DETAIL - IN - OVERFLOW</t>
  </si>
  <si>
    <t xml:space="preserve">OUTSIDE THE KINGDOM
Kingdom and Branch or Account</t>
  </si>
  <si>
    <t xml:space="preserve">-9b-</t>
  </si>
  <si>
    <t xml:space="preserve">-9c-</t>
  </si>
  <si>
    <t xml:space="preserve">-9d-</t>
  </si>
  <si>
    <t xml:space="preserve">SCA FUNDS TRANSFERRED DETAIL - OUT - OVERFLOW</t>
  </si>
  <si>
    <t xml:space="preserve">SCA Background checks</t>
  </si>
  <si>
    <t xml:space="preserve">SCA July NMR</t>
  </si>
  <si>
    <t xml:space="preserve">SCA August NMR</t>
  </si>
  <si>
    <t xml:space="preserve">SCA Sept NMR</t>
  </si>
  <si>
    <t xml:space="preserve">SCA Oct NMR</t>
  </si>
  <si>
    <t xml:space="preserve">-10b-</t>
  </si>
  <si>
    <t xml:space="preserve">-10c-</t>
  </si>
  <si>
    <t xml:space="preserve">-10d-</t>
  </si>
  <si>
    <t xml:space="preserve">Web services</t>
  </si>
  <si>
    <t xml:space="preserve">Cloudways via David Young</t>
  </si>
  <si>
    <t xml:space="preserve">Heroku via David Young</t>
  </si>
  <si>
    <t xml:space="preserve">T Mobile via David Young</t>
  </si>
  <si>
    <t xml:space="preserve">hotspot</t>
  </si>
  <si>
    <t xml:space="preserve">Ken cockrell </t>
  </si>
  <si>
    <t xml:space="preserve">Pennsic trailer placement</t>
  </si>
  <si>
    <t xml:space="preserve">Revion via Theresa Fredette</t>
  </si>
  <si>
    <t xml:space="preserve">Total to 12a</t>
  </si>
  <si>
    <t xml:space="preserve">Red Spears</t>
  </si>
  <si>
    <t xml:space="preserve">Norborough</t>
  </si>
  <si>
    <t xml:space="preserve">Shadowed Stars</t>
  </si>
  <si>
    <t xml:space="preserve">Rivenvale</t>
  </si>
  <si>
    <t xml:space="preserve">Red Spears/ Winged Hills</t>
  </si>
  <si>
    <t xml:space="preserve">Tirnewydd</t>
  </si>
  <si>
    <t xml:space="preserve">Flame</t>
  </si>
  <si>
    <t xml:space="preserve">11-15-25`</t>
  </si>
  <si>
    <t xml:space="preserve">White Waters via PNC cashiers check</t>
  </si>
  <si>
    <t xml:space="preserve">Hrodgeirsfjord</t>
  </si>
  <si>
    <t xml:space="preserve">Total for Transfer in</t>
  </si>
  <si>
    <t xml:space="preserve">Donations in</t>
  </si>
  <si>
    <t xml:space="preserve">Shattered Crystal -Middle</t>
  </si>
  <si>
    <t xml:space="preserve">Feast of the Chase NMR</t>
  </si>
  <si>
    <t xml:space="preserve">Smith Bakers Weavers Wrights NMR</t>
  </si>
  <si>
    <t xml:space="preserve">Grand Day NMR</t>
  </si>
  <si>
    <t xml:space="preserve">Ayreton</t>
  </si>
  <si>
    <t xml:space="preserve">Rum profit split</t>
  </si>
  <si>
    <t xml:space="preserve">Rum NMR</t>
  </si>
  <si>
    <t xml:space="preserve">Ravenslake</t>
  </si>
  <si>
    <t xml:space="preserve">Artisan's day NMR</t>
  </si>
  <si>
    <t xml:space="preserve">Dancer's Revolt NMR</t>
  </si>
  <si>
    <t xml:space="preserve">Vanished Woods</t>
  </si>
  <si>
    <t xml:space="preserve">All Souls NMR</t>
  </si>
  <si>
    <t xml:space="preserve">White Stag NMR</t>
  </si>
  <si>
    <t xml:space="preserve">Total for Donations in</t>
  </si>
</sst>
</file>

<file path=xl/styles.xml><?xml version="1.0" encoding="utf-8"?>
<styleSheet xmlns="http://schemas.openxmlformats.org/spreadsheetml/2006/main">
  <numFmts count="19">
    <numFmt numFmtId="164" formatCode="General"/>
    <numFmt numFmtId="165" formatCode="@"/>
    <numFmt numFmtId="166" formatCode="m/d/yyyy"/>
    <numFmt numFmtId="167" formatCode="00000"/>
    <numFmt numFmtId="168" formatCode="0.00%"/>
    <numFmt numFmtId="169" formatCode="0"/>
    <numFmt numFmtId="170" formatCode="mm/yyyy"/>
    <numFmt numFmtId="171" formatCode="[$-409]d\-mmm\-yyyy;@"/>
    <numFmt numFmtId="172" formatCode="#,##0.00_);\(#,##0.00\)"/>
    <numFmt numFmtId="173" formatCode="_(\$* #,##0.00_);_(\$* \(#,##0.00\);_(\$* \ ??_);_(@_)"/>
    <numFmt numFmtId="174" formatCode="_(* #,##0.00_);_(* \(#,##0.00\);_(* \ ??_);_(@_)"/>
    <numFmt numFmtId="175" formatCode="mmm/yyyy"/>
    <numFmt numFmtId="176" formatCode="0.00_);[RED]\(0.00\)"/>
    <numFmt numFmtId="177" formatCode="0.00"/>
    <numFmt numFmtId="178" formatCode="#,##0.0000000000_);\(#,##0.0000000000\)"/>
    <numFmt numFmtId="179" formatCode="#,##0"/>
    <numFmt numFmtId="180" formatCode="#,##0.00"/>
    <numFmt numFmtId="181" formatCode="mm/dd/yy;@"/>
    <numFmt numFmtId="182" formatCode="\$#,##0.00"/>
  </numFmts>
  <fonts count="57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u val="single"/>
      <sz val="10"/>
      <color rgb="FF0000FF"/>
      <name val="Times New Roman"/>
      <family val="1"/>
      <charset val="1"/>
    </font>
    <font>
      <sz val="10"/>
      <name val="Times New Roman"/>
      <family val="1"/>
      <charset val="1"/>
    </font>
    <font>
      <sz val="10"/>
      <name val="Arial"/>
      <family val="2"/>
      <charset val="1"/>
    </font>
    <font>
      <sz val="10"/>
      <color theme="1"/>
      <name val="Garamond"/>
      <family val="1"/>
      <charset val="1"/>
    </font>
    <font>
      <b val="true"/>
      <sz val="10"/>
      <name val="Garamond"/>
      <family val="1"/>
      <charset val="1"/>
    </font>
    <font>
      <sz val="10"/>
      <name val="Garamond"/>
      <family val="1"/>
      <charset val="1"/>
    </font>
    <font>
      <u val="single"/>
      <sz val="10"/>
      <name val="Garamond"/>
      <family val="1"/>
      <charset val="1"/>
    </font>
    <font>
      <sz val="12"/>
      <name val="Garamond"/>
      <family val="1"/>
      <charset val="1"/>
    </font>
    <font>
      <sz val="4"/>
      <name val="Garamond"/>
      <family val="1"/>
      <charset val="1"/>
    </font>
    <font>
      <sz val="11"/>
      <color theme="1"/>
      <name val="Garamond"/>
      <family val="1"/>
      <charset val="1"/>
    </font>
    <font>
      <b val="true"/>
      <sz val="9"/>
      <name val="Garamond"/>
      <family val="1"/>
      <charset val="1"/>
    </font>
    <font>
      <b val="true"/>
      <u val="single"/>
      <sz val="10"/>
      <name val="Garamond"/>
      <family val="1"/>
      <charset val="1"/>
    </font>
    <font>
      <sz val="12"/>
      <color rgb="FF800000"/>
      <name val="Garamond"/>
      <family val="1"/>
      <charset val="1"/>
    </font>
    <font>
      <sz val="10"/>
      <color rgb="FF003366"/>
      <name val="Garamond"/>
      <family val="1"/>
      <charset val="1"/>
    </font>
    <font>
      <u val="single"/>
      <sz val="11"/>
      <name val="Garamond"/>
      <family val="1"/>
      <charset val="1"/>
    </font>
    <font>
      <b val="true"/>
      <u val="single"/>
      <sz val="11"/>
      <name val="Garamond"/>
      <family val="1"/>
      <charset val="1"/>
    </font>
    <font>
      <sz val="11"/>
      <name val="Garamond"/>
      <family val="1"/>
      <charset val="1"/>
    </font>
    <font>
      <b val="true"/>
      <sz val="11"/>
      <name val="Garamond"/>
      <family val="1"/>
      <charset val="1"/>
    </font>
    <font>
      <sz val="14"/>
      <name val="Garamond"/>
      <family val="1"/>
      <charset val="1"/>
    </font>
    <font>
      <b val="true"/>
      <sz val="12"/>
      <name val="Garamond"/>
      <family val="1"/>
      <charset val="1"/>
    </font>
    <font>
      <sz val="10"/>
      <color rgb="FFCCFFCC"/>
      <name val="Garamond"/>
      <family val="1"/>
      <charset val="1"/>
    </font>
    <font>
      <sz val="11"/>
      <color rgb="FF000000"/>
      <name val="Calibri"/>
      <family val="0"/>
      <charset val="1"/>
    </font>
    <font>
      <sz val="5"/>
      <name val="Garamond"/>
      <family val="1"/>
      <charset val="1"/>
    </font>
    <font>
      <b val="true"/>
      <sz val="14"/>
      <name val="Garamond"/>
      <family val="1"/>
      <charset val="1"/>
    </font>
    <font>
      <sz val="11"/>
      <name val="Times New Roman"/>
      <family val="1"/>
      <charset val="1"/>
    </font>
    <font>
      <sz val="10"/>
      <color rgb="FFFFFF99"/>
      <name val="Garamond"/>
      <family val="1"/>
      <charset val="1"/>
    </font>
    <font>
      <i val="true"/>
      <sz val="10"/>
      <name val="Garamond"/>
      <family val="1"/>
      <charset val="1"/>
    </font>
    <font>
      <b val="true"/>
      <sz val="12"/>
      <name val="Times New Roman"/>
      <family val="1"/>
      <charset val="1"/>
    </font>
    <font>
      <sz val="8"/>
      <color rgb="FF000000"/>
      <name val="Arial"/>
      <family val="2"/>
      <charset val="1"/>
    </font>
    <font>
      <b val="true"/>
      <i val="true"/>
      <sz val="10"/>
      <name val="Garamond"/>
      <family val="1"/>
      <charset val="1"/>
    </font>
    <font>
      <sz val="11"/>
      <color rgb="FFCCFFCC"/>
      <name val="Calibri"/>
      <family val="2"/>
      <charset val="1"/>
    </font>
    <font>
      <sz val="10"/>
      <name val="Arial"/>
      <family val="2"/>
    </font>
    <font>
      <b val="true"/>
      <sz val="8"/>
      <color rgb="FF000000"/>
      <name val="Tahoma"/>
      <family val="2"/>
      <charset val="1"/>
    </font>
    <font>
      <sz val="8"/>
      <name val="Garamond"/>
      <family val="1"/>
      <charset val="1"/>
    </font>
    <font>
      <b val="true"/>
      <i val="true"/>
      <sz val="11"/>
      <name val="Garamond"/>
      <family val="1"/>
      <charset val="1"/>
    </font>
    <font>
      <sz val="9"/>
      <name val="Garamond"/>
      <family val="1"/>
      <charset val="1"/>
    </font>
    <font>
      <sz val="10.5"/>
      <name val="Garamond"/>
      <family val="1"/>
      <charset val="1"/>
    </font>
    <font>
      <i val="true"/>
      <sz val="8"/>
      <name val="Garamond"/>
      <family val="1"/>
      <charset val="1"/>
    </font>
    <font>
      <b val="true"/>
      <sz val="8"/>
      <name val="Garamond"/>
      <family val="1"/>
      <charset val="1"/>
    </font>
    <font>
      <sz val="16"/>
      <name val="Garamond"/>
      <family val="1"/>
      <charset val="1"/>
    </font>
    <font>
      <i val="true"/>
      <sz val="11"/>
      <name val="Garamond"/>
      <family val="1"/>
      <charset val="1"/>
    </font>
    <font>
      <b val="true"/>
      <sz val="10"/>
      <color theme="1"/>
      <name val="Calibri"/>
      <family val="2"/>
      <charset val="1"/>
    </font>
    <font>
      <sz val="6"/>
      <name val="Garamond"/>
      <family val="1"/>
      <charset val="1"/>
    </font>
    <font>
      <b val="true"/>
      <sz val="6"/>
      <name val="Garamond"/>
      <family val="1"/>
      <charset val="1"/>
    </font>
    <font>
      <b val="true"/>
      <sz val="11"/>
      <color theme="1"/>
      <name val="Garamond"/>
      <family val="1"/>
      <charset val="1"/>
    </font>
    <font>
      <i val="true"/>
      <sz val="9"/>
      <name val="Garamond"/>
      <family val="1"/>
      <charset val="1"/>
    </font>
    <font>
      <b val="true"/>
      <u val="single"/>
      <sz val="12"/>
      <name val="Garamond"/>
      <family val="1"/>
      <charset val="1"/>
    </font>
    <font>
      <i val="true"/>
      <sz val="12"/>
      <name val="Garamond"/>
      <family val="1"/>
      <charset val="1"/>
    </font>
    <font>
      <sz val="8"/>
      <color rgb="FFCCFFCC"/>
      <name val="Garamond"/>
      <family val="1"/>
      <charset val="1"/>
    </font>
    <font>
      <sz val="9"/>
      <name val="Times New Roman"/>
      <family val="1"/>
      <charset val="1"/>
    </font>
    <font>
      <b val="true"/>
      <sz val="18"/>
      <name val="Garamond"/>
      <family val="1"/>
      <charset val="1"/>
    </font>
    <font>
      <strike val="true"/>
      <sz val="10"/>
      <name val="Garamond"/>
      <family val="1"/>
      <charset val="1"/>
    </font>
    <font>
      <b val="true"/>
      <u val="single"/>
      <sz val="9"/>
      <name val="Garamond"/>
      <family val="1"/>
      <charset val="1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CCFFFF"/>
        <bgColor rgb="FFCCFFFF"/>
      </patternFill>
    </fill>
    <fill>
      <patternFill patternType="solid">
        <fgColor rgb="FFFFFFFF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FFFF99"/>
        <bgColor rgb="FFFFFFCC"/>
      </patternFill>
    </fill>
    <fill>
      <patternFill patternType="solid">
        <fgColor theme="0" tint="-0.15"/>
        <bgColor rgb="FFC0C0C0"/>
      </patternFill>
    </fill>
  </fills>
  <borders count="191">
    <border diagonalUp="false" diagonalDown="false">
      <left/>
      <right/>
      <top/>
      <bottom/>
      <diagonal/>
    </border>
    <border diagonalUp="false" diagonalDown="false"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 diagonalUp="false" diagonalDown="false"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 diagonalUp="false" diagonalDown="false">
      <left style="double"/>
      <right style="thin"/>
      <top style="double"/>
      <bottom style="thin"/>
      <diagonal/>
    </border>
    <border diagonalUp="false" diagonalDown="false">
      <left style="thin"/>
      <right style="double"/>
      <top style="double"/>
      <bottom style="thin"/>
      <diagonal/>
    </border>
    <border diagonalUp="false" diagonalDown="false">
      <left style="double"/>
      <right style="thin"/>
      <top style="thin"/>
      <bottom style="thin"/>
      <diagonal/>
    </border>
    <border diagonalUp="false" diagonalDown="false">
      <left style="thin"/>
      <right style="double"/>
      <top style="thin"/>
      <bottom style="thin"/>
      <diagonal/>
    </border>
    <border diagonalUp="false" diagonalDown="false">
      <left style="double"/>
      <right style="thin"/>
      <top style="thin"/>
      <bottom style="double"/>
      <diagonal/>
    </border>
    <border diagonalUp="false" diagonalDown="false">
      <left style="thin"/>
      <right style="double"/>
      <top style="thin"/>
      <bottom style="double"/>
      <diagonal/>
    </border>
    <border diagonalUp="false" diagonalDown="false">
      <left style="double"/>
      <right style="double"/>
      <top style="double"/>
      <bottom/>
      <diagonal/>
    </border>
    <border diagonalUp="false" diagonalDown="false">
      <left style="double"/>
      <right style="double"/>
      <top/>
      <bottom/>
      <diagonal/>
    </border>
    <border diagonalUp="false" diagonalDown="false">
      <left style="double"/>
      <right style="double"/>
      <top/>
      <bottom style="double"/>
      <diagonal/>
    </border>
    <border diagonalUp="false" diagonalDown="false">
      <left style="double">
        <color theme="1"/>
      </left>
      <right/>
      <top style="double">
        <color theme="1"/>
      </top>
      <bottom/>
      <diagonal/>
    </border>
    <border diagonalUp="false" diagonalDown="false">
      <left/>
      <right style="double">
        <color theme="1"/>
      </right>
      <top style="double">
        <color theme="1"/>
      </top>
      <bottom/>
      <diagonal/>
    </border>
    <border diagonalUp="false" diagonalDown="false">
      <left style="double">
        <color theme="1"/>
      </left>
      <right/>
      <top/>
      <bottom/>
      <diagonal/>
    </border>
    <border diagonalUp="false" diagonalDown="false">
      <left/>
      <right style="double">
        <color theme="1"/>
      </right>
      <top/>
      <bottom/>
      <diagonal/>
    </border>
    <border diagonalUp="false" diagonalDown="false"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 diagonalUp="false" diagonalDown="false">
      <left/>
      <right/>
      <top style="double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/>
      <top style="thin"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double"/>
      <top style="double"/>
      <bottom style="thin"/>
      <diagonal/>
    </border>
    <border diagonalUp="false" diagonalDown="false">
      <left/>
      <right style="double"/>
      <top style="thin"/>
      <bottom style="thin"/>
      <diagonal/>
    </border>
    <border diagonalUp="false" diagonalDown="false">
      <left style="double"/>
      <right style="thin"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thin"/>
      <right style="double"/>
      <top style="thin"/>
      <bottom style="medium"/>
      <diagonal/>
    </border>
    <border diagonalUp="false" diagonalDown="false">
      <left style="double"/>
      <right style="double"/>
      <top style="medium"/>
      <bottom style="medium"/>
      <diagonal/>
    </border>
    <border diagonalUp="false" diagonalDown="false">
      <left style="double"/>
      <right style="thin"/>
      <top style="medium"/>
      <bottom style="thin"/>
      <diagonal/>
    </border>
    <border diagonalUp="false" diagonalDown="false">
      <left/>
      <right style="double"/>
      <top style="medium"/>
      <bottom style="thin"/>
      <diagonal/>
    </border>
    <border diagonalUp="false" diagonalDown="false">
      <left/>
      <right/>
      <top style="thin"/>
      <bottom style="double"/>
      <diagonal/>
    </border>
    <border diagonalUp="false" diagonalDown="false">
      <left style="thin"/>
      <right style="thin"/>
      <top style="thin"/>
      <bottom style="double"/>
      <diagonal/>
    </border>
    <border diagonalUp="false" diagonalDown="false">
      <left/>
      <right style="double"/>
      <top style="thin"/>
      <bottom style="double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double"/>
      <right/>
      <top/>
      <bottom style="double"/>
      <diagonal/>
    </border>
    <border diagonalUp="false" diagonalDown="false">
      <left/>
      <right/>
      <top/>
      <bottom style="double"/>
      <diagonal/>
    </border>
    <border diagonalUp="false" diagonalDown="false">
      <left/>
      <right style="double"/>
      <top/>
      <bottom style="double"/>
      <diagonal/>
    </border>
    <border diagonalUp="false" diagonalDown="false">
      <left style="medium"/>
      <right style="medium"/>
      <top style="medium"/>
      <bottom style="double"/>
      <diagonal/>
    </border>
    <border diagonalUp="false" diagonalDown="false">
      <left style="double"/>
      <right style="thin"/>
      <top style="double"/>
      <bottom style="medium"/>
      <diagonal/>
    </border>
    <border diagonalUp="false" diagonalDown="false">
      <left style="thin"/>
      <right style="medium"/>
      <top style="double"/>
      <bottom style="medium"/>
      <diagonal/>
    </border>
    <border diagonalUp="false" diagonalDown="false">
      <left style="medium"/>
      <right style="thin"/>
      <top style="double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double"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double"/>
      <right style="thin"/>
      <top style="medium"/>
      <bottom style="double"/>
      <diagonal/>
    </border>
    <border diagonalUp="false" diagonalDown="false">
      <left/>
      <right/>
      <top style="medium"/>
      <bottom style="double"/>
      <diagonal/>
    </border>
    <border diagonalUp="false" diagonalDown="false">
      <left style="thin"/>
      <right/>
      <top style="medium"/>
      <bottom style="double"/>
      <diagonal/>
    </border>
    <border diagonalUp="false" diagonalDown="false">
      <left/>
      <right style="thin"/>
      <top style="medium"/>
      <bottom style="double"/>
      <diagonal/>
    </border>
    <border diagonalUp="false" diagonalDown="false">
      <left style="thin"/>
      <right style="double"/>
      <top style="medium"/>
      <bottom style="double"/>
      <diagonal/>
    </border>
    <border diagonalUp="false" diagonalDown="false">
      <left style="thin"/>
      <right style="thin"/>
      <top style="double"/>
      <bottom style="medium"/>
      <diagonal/>
    </border>
    <border diagonalUp="false" diagonalDown="false">
      <left style="thin"/>
      <right style="double"/>
      <top style="double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double"/>
      <right/>
      <top style="medium"/>
      <bottom style="double"/>
      <diagonal/>
    </border>
    <border diagonalUp="false" diagonalDown="false">
      <left style="thin"/>
      <right style="double"/>
      <top style="medium"/>
      <bottom style="medium"/>
      <diagonal/>
    </border>
    <border diagonalUp="false" diagonalDown="false">
      <left style="double"/>
      <right style="double"/>
      <top style="medium"/>
      <bottom style="double"/>
      <diagonal/>
    </border>
    <border diagonalUp="false" diagonalDown="false">
      <left/>
      <right/>
      <top style="double"/>
      <bottom style="double"/>
      <diagonal/>
    </border>
    <border diagonalUp="false" diagonalDown="false">
      <left/>
      <right style="medium"/>
      <top style="double"/>
      <bottom style="double"/>
      <diagonal/>
    </border>
    <border diagonalUp="false" diagonalDown="false">
      <left style="medium"/>
      <right style="medium"/>
      <top style="double"/>
      <bottom style="double"/>
      <diagonal/>
    </border>
    <border diagonalUp="false" diagonalDown="false">
      <left style="double"/>
      <right/>
      <top style="double"/>
      <bottom style="medium"/>
      <diagonal/>
    </border>
    <border diagonalUp="false" diagonalDown="false">
      <left/>
      <right/>
      <top style="double"/>
      <bottom style="medium"/>
      <diagonal/>
    </border>
    <border diagonalUp="false" diagonalDown="false">
      <left style="thin"/>
      <right/>
      <top style="double"/>
      <bottom style="medium"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double"/>
      <top/>
      <bottom/>
      <diagonal/>
    </border>
    <border diagonalUp="false" diagonalDown="false">
      <left style="thin"/>
      <right style="double"/>
      <top style="thin"/>
      <bottom/>
      <diagonal/>
    </border>
    <border diagonalUp="false" diagonalDown="false">
      <left style="double"/>
      <right/>
      <top style="double"/>
      <bottom style="thin"/>
      <diagonal/>
    </border>
    <border diagonalUp="false" diagonalDown="false">
      <left style="medium"/>
      <right style="medium"/>
      <top style="double"/>
      <bottom style="thin"/>
      <diagonal/>
    </border>
    <border diagonalUp="false" diagonalDown="false">
      <left style="medium"/>
      <right/>
      <top style="double"/>
      <bottom/>
      <diagonal/>
    </border>
    <border diagonalUp="false" diagonalDown="false">
      <left style="double"/>
      <right/>
      <top style="thin"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double"/>
      <right/>
      <top style="thin"/>
      <bottom style="medium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double"/>
      <right/>
      <top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double"/>
      <top style="medium"/>
      <bottom style="medium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double"/>
      <right/>
      <top style="thin"/>
      <bottom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double"/>
      <right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double"/>
      <top/>
      <bottom style="medium"/>
      <diagonal/>
    </border>
    <border diagonalUp="false" diagonalDown="false">
      <left style="double"/>
      <right style="medium"/>
      <top style="medium"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double"/>
      <right style="medium"/>
      <top style="thin"/>
      <bottom style="thin"/>
      <diagonal/>
    </border>
    <border diagonalUp="false" diagonalDown="false">
      <left style="double"/>
      <right style="medium"/>
      <top style="thin"/>
      <bottom style="medium"/>
      <diagonal/>
    </border>
    <border diagonalUp="false" diagonalDown="false">
      <left style="double"/>
      <right style="medium"/>
      <top style="thin"/>
      <bottom style="double"/>
      <diagonal/>
    </border>
    <border diagonalUp="false" diagonalDown="false">
      <left style="medium"/>
      <right style="medium"/>
      <top style="thin"/>
      <bottom style="double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medium"/>
      <top style="double"/>
      <bottom style="medium"/>
      <diagonal/>
    </border>
    <border diagonalUp="false" diagonalDown="false">
      <left style="medium"/>
      <right style="medium"/>
      <top style="double"/>
      <bottom style="medium"/>
      <diagonal/>
    </border>
    <border diagonalUp="false" diagonalDown="false">
      <left style="medium"/>
      <right style="double"/>
      <top style="double"/>
      <bottom style="medium"/>
      <diagonal/>
    </border>
    <border diagonalUp="false" diagonalDown="false">
      <left style="medium"/>
      <right style="double"/>
      <top style="medium"/>
      <bottom style="thin"/>
      <diagonal/>
    </border>
    <border diagonalUp="false" diagonalDown="false">
      <left style="medium"/>
      <right style="double"/>
      <top style="thin"/>
      <bottom style="thin"/>
      <diagonal/>
    </border>
    <border diagonalUp="false" diagonalDown="false">
      <left style="medium"/>
      <right style="double"/>
      <top style="thin"/>
      <bottom/>
      <diagonal/>
    </border>
    <border diagonalUp="false" diagonalDown="false">
      <left/>
      <right style="medium"/>
      <top style="medium"/>
      <bottom style="double"/>
      <diagonal/>
    </border>
    <border diagonalUp="false" diagonalDown="false">
      <left style="medium"/>
      <right style="double"/>
      <top style="medium"/>
      <bottom style="double"/>
      <diagonal/>
    </border>
    <border diagonalUp="false" diagonalDown="false">
      <left/>
      <right style="double"/>
      <top style="double"/>
      <bottom style="medium"/>
      <diagonal/>
    </border>
    <border diagonalUp="false" diagonalDown="false">
      <left style="medium"/>
      <right style="double"/>
      <top style="medium"/>
      <bottom/>
      <diagonal/>
    </border>
    <border diagonalUp="false" diagonalDown="false">
      <left style="double"/>
      <right style="medium"/>
      <top style="double"/>
      <bottom style="medium"/>
      <diagonal/>
    </border>
    <border diagonalUp="false" diagonalDown="false">
      <left style="medium"/>
      <right/>
      <top style="double"/>
      <bottom style="medium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 style="double"/>
      <diagonal/>
    </border>
    <border diagonalUp="false" diagonalDown="false">
      <left style="thin"/>
      <right style="thin"/>
      <top style="double"/>
      <bottom style="thin"/>
      <diagonal/>
    </border>
    <border diagonalUp="false" diagonalDown="false">
      <left/>
      <right/>
      <top style="double"/>
      <bottom style="thin"/>
      <diagonal/>
    </border>
    <border diagonalUp="false" diagonalDown="false">
      <left/>
      <right style="thin"/>
      <top style="double"/>
      <bottom style="medium"/>
      <diagonal/>
    </border>
    <border diagonalUp="false" diagonalDown="false">
      <left style="double"/>
      <right style="thin"/>
      <top style="medium"/>
      <bottom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double"/>
      <right style="thin"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double"/>
      <right style="thin"/>
      <top style="thin"/>
      <bottom/>
      <diagonal/>
    </border>
    <border diagonalUp="false" diagonalDown="false">
      <left style="double"/>
      <right style="thin"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double"/>
      <top style="thin"/>
      <bottom style="medium"/>
      <diagonal/>
    </border>
    <border diagonalUp="false" diagonalDown="false">
      <left style="medium"/>
      <right style="double"/>
      <top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double"/>
      <right style="thin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double"/>
      <right style="thin"/>
      <top/>
      <bottom style="double"/>
      <diagonal/>
    </border>
    <border diagonalUp="false" diagonalDown="false">
      <left style="medium"/>
      <right style="double"/>
      <top/>
      <bottom style="double"/>
      <diagonal/>
    </border>
    <border diagonalUp="false" diagonalDown="false">
      <left style="thin"/>
      <right/>
      <top style="double"/>
      <bottom style="thin"/>
      <diagonal/>
    </border>
    <border diagonalUp="false" diagonalDown="false">
      <left style="double"/>
      <right/>
      <top style="thin"/>
      <bottom style="double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double"/>
      <right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 style="thin"/>
      <right style="double"/>
      <top/>
      <bottom style="medium"/>
      <diagonal/>
    </border>
    <border diagonalUp="false" diagonalDown="false">
      <left style="double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 style="double"/>
      <right style="thin"/>
      <top/>
      <bottom style="medium"/>
      <diagonal/>
    </border>
    <border diagonalUp="false" diagonalDown="false">
      <left style="double"/>
      <right/>
      <top style="medium"/>
      <bottom style="thin"/>
      <diagonal/>
    </border>
    <border diagonalUp="false" diagonalDown="false">
      <left/>
      <right style="thin"/>
      <top style="double"/>
      <bottom/>
      <diagonal/>
    </border>
    <border diagonalUp="false" diagonalDown="false">
      <left style="thin"/>
      <right style="thin"/>
      <top style="double"/>
      <bottom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thin"/>
      <right/>
      <top/>
      <bottom style="double"/>
      <diagonal/>
    </border>
    <border diagonalUp="false" diagonalDown="false">
      <left style="medium"/>
      <right style="thin"/>
      <top style="thin"/>
      <bottom style="double"/>
      <diagonal/>
    </border>
    <border diagonalUp="false" diagonalDown="false">
      <left style="thin"/>
      <right style="medium"/>
      <top style="thin"/>
      <bottom style="double"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 style="thin"/>
      <top/>
      <bottom style="double"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 style="double"/>
      <diagonal/>
    </border>
    <border diagonalUp="false" diagonalDown="false">
      <left style="double"/>
      <right style="double"/>
      <top style="double"/>
      <bottom style="thin"/>
      <diagonal/>
    </border>
    <border diagonalUp="false" diagonalDown="false">
      <left style="double"/>
      <right style="thin"/>
      <top style="double"/>
      <bottom/>
      <diagonal/>
    </border>
    <border diagonalUp="false" diagonalDown="false">
      <left style="thin"/>
      <right style="double"/>
      <top style="double"/>
      <bottom/>
      <diagonal/>
    </border>
    <border diagonalUp="false" diagonalDown="false">
      <left style="double"/>
      <right style="double"/>
      <top style="thin"/>
      <bottom style="thin"/>
      <diagonal/>
    </border>
    <border diagonalUp="false" diagonalDown="false">
      <left style="thin"/>
      <right style="double"/>
      <top style="medium"/>
      <bottom style="thin"/>
      <diagonal/>
    </border>
    <border diagonalUp="false" diagonalDown="false">
      <left style="double"/>
      <right style="double"/>
      <top style="thin"/>
      <bottom style="double"/>
      <diagonal/>
    </border>
    <border diagonalUp="false" diagonalDown="false">
      <left/>
      <right style="double"/>
      <top style="medium"/>
      <bottom style="medium"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/>
      <bottom style="double"/>
      <diagonal/>
    </border>
    <border diagonalUp="false" diagonalDown="false">
      <left style="double"/>
      <right style="medium"/>
      <top style="medium"/>
      <bottom style="double"/>
      <diagonal/>
    </border>
    <border diagonalUp="false" diagonalDown="false">
      <left style="double"/>
      <right style="medium"/>
      <top style="medium"/>
      <bottom style="medium"/>
      <diagonal/>
    </border>
    <border diagonalUp="false" diagonalDown="false">
      <left style="thin"/>
      <right/>
      <top style="double"/>
      <bottom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thin"/>
      <top/>
      <bottom style="medium"/>
      <diagonal/>
    </border>
    <border diagonalUp="false" diagonalDown="false">
      <left style="double"/>
      <right style="medium"/>
      <top style="double"/>
      <bottom style="double"/>
      <diagonal/>
    </border>
    <border diagonalUp="false" diagonalDown="false">
      <left style="medium"/>
      <right style="double"/>
      <top style="double"/>
      <bottom style="double"/>
      <diagonal/>
    </border>
    <border diagonalUp="false" diagonalDown="false">
      <left style="double"/>
      <right style="thin"/>
      <top style="double"/>
      <bottom style="double"/>
      <diagonal/>
    </border>
    <border diagonalUp="false" diagonalDown="false">
      <left style="double"/>
      <right style="medium"/>
      <top style="double"/>
      <bottom/>
      <diagonal/>
    </border>
    <border diagonalUp="false" diagonalDown="false">
      <left style="thin"/>
      <right style="medium"/>
      <top style="double"/>
      <bottom/>
      <diagonal/>
    </border>
    <border diagonalUp="false" diagonalDown="false">
      <left style="double"/>
      <right style="medium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double"/>
      <right style="medium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double"/>
      <right style="medium"/>
      <top/>
      <bottom style="thin"/>
      <diagonal/>
    </border>
  </borders>
  <cellStyleXfs count="4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3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1" xfId="33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1" fillId="2" borderId="0" xfId="33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3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2" borderId="2" xfId="33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0" borderId="0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0" xfId="33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0" xfId="2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9" fillId="0" borderId="0" xfId="33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7" fillId="0" borderId="3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4" xfId="33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6" fontId="17" fillId="0" borderId="5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3" borderId="6" xfId="33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2" borderId="0" xfId="33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7" fillId="0" borderId="5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9" fillId="0" borderId="6" xfId="3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9" fillId="3" borderId="6" xfId="33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17" fillId="0" borderId="7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9" fillId="4" borderId="8" xfId="33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2" borderId="0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8" fillId="0" borderId="9" xfId="33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0" fillId="0" borderId="10" xfId="33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9" fillId="0" borderId="10" xfId="33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0" fillId="0" borderId="10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11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2" fillId="2" borderId="0" xfId="33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3" fillId="2" borderId="0" xfId="33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0" xfId="3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12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2" borderId="13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2" fillId="2" borderId="14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2" fillId="2" borderId="15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1" fillId="2" borderId="14" xfId="3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2" borderId="15" xfId="3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2" borderId="10" xfId="3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2" borderId="11" xfId="3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16" xfId="2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4" fillId="2" borderId="0" xfId="33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33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0" xfId="33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5" fillId="0" borderId="0" xfId="2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33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21" fillId="0" borderId="0" xfId="3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33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2" borderId="17" xfId="33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4" fontId="9" fillId="2" borderId="0" xfId="33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15" fillId="2" borderId="0" xfId="33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9" fillId="2" borderId="18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2" borderId="0" xfId="33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4" fontId="9" fillId="2" borderId="19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2" borderId="20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9" fillId="2" borderId="0" xfId="33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4" fontId="9" fillId="2" borderId="21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2" borderId="22" xfId="33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9" fillId="2" borderId="23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9" fillId="2" borderId="24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9" fillId="2" borderId="25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2" borderId="26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27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28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9" fillId="2" borderId="29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9" fillId="2" borderId="1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9" fillId="2" borderId="30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9" fillId="2" borderId="31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9" fillId="2" borderId="32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9" fillId="2" borderId="0" xfId="4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33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9" fillId="2" borderId="0" xfId="33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6" fontId="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0" xfId="39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2" borderId="0" xfId="2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9" fillId="0" borderId="0" xfId="3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6" fillId="0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3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3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3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3" xfId="39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20" fillId="3" borderId="33" xfId="39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11" fillId="0" borderId="5" xfId="39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0" borderId="3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28" fillId="3" borderId="34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20" fillId="3" borderId="20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16" xfId="39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5" fontId="20" fillId="3" borderId="34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0" borderId="5" xfId="39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5" fontId="20" fillId="3" borderId="20" xfId="39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20" fillId="3" borderId="34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9" fontId="9" fillId="3" borderId="34" xfId="3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1" fillId="0" borderId="35" xfId="39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20" fillId="3" borderId="36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1" xfId="39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70" fontId="9" fillId="3" borderId="37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1" fillId="0" borderId="38" xfId="3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39" xfId="39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28" fillId="3" borderId="40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11" fillId="0" borderId="7" xfId="39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20" fillId="3" borderId="4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42" xfId="39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5" fontId="20" fillId="3" borderId="43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23" fillId="0" borderId="0" xfId="39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28" fillId="3" borderId="44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20" fillId="3" borderId="34" xfId="39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0" fontId="9" fillId="3" borderId="8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3" fillId="0" borderId="0" xfId="3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39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0" xfId="3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4" fillId="2" borderId="0" xfId="3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9" fillId="2" borderId="0" xfId="3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2" borderId="0" xfId="31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3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0" xfId="3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3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0" fillId="0" borderId="0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31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12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7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33" xfId="31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14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34" xfId="31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9" fillId="3" borderId="45" xfId="31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0" xfId="3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3" borderId="34" xfId="31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9" fillId="3" borderId="20" xfId="31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45" xfId="3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1" fontId="9" fillId="3" borderId="34" xfId="31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46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47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47" xfId="31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0" fillId="3" borderId="48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0" xfId="31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3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3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2" fontId="9" fillId="3" borderId="49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9" fillId="0" borderId="50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51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52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9" fillId="3" borderId="39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28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6" fontId="9" fillId="3" borderId="53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54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6" fontId="9" fillId="3" borderId="5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55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6" fontId="9" fillId="3" borderId="56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6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6" fontId="9" fillId="3" borderId="35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57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58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3" fontId="9" fillId="0" borderId="5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60" xfId="3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6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47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3" fontId="9" fillId="0" borderId="4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47" xfId="3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1" fillId="0" borderId="4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62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6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63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32" fillId="3" borderId="5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20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64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6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5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56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1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16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35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36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30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5" fontId="9" fillId="3" borderId="29" xfId="3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9" fillId="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37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66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3" fontId="9" fillId="0" borderId="5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6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0" fillId="0" borderId="13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0" borderId="3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3" borderId="68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0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3" borderId="2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33" fillId="0" borderId="0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3" fillId="0" borderId="47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3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69" xfId="3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" fillId="0" borderId="7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9" fillId="3" borderId="71" xfId="3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8" fillId="0" borderId="72" xfId="3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73" xfId="3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74" xfId="3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62" xfId="3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63" xfId="3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3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9" fillId="0" borderId="39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9" fillId="0" borderId="75" xfId="3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9" fillId="0" borderId="19" xfId="3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9" fontId="9" fillId="0" borderId="76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14" xfId="3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9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19" xfId="3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5" fontId="9" fillId="0" borderId="6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8" fillId="3" borderId="5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9" fillId="3" borderId="19" xfId="3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9" fillId="3" borderId="16" xfId="3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9" fontId="9" fillId="3" borderId="76" xfId="3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5" fontId="9" fillId="3" borderId="6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8" fillId="3" borderId="7" xfId="3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9" fillId="3" borderId="42" xfId="3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9" fontId="9" fillId="3" borderId="77" xfId="3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5" fontId="9" fillId="3" borderId="8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0" xfId="3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0" xfId="3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0" xfId="3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69" xfId="3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9" fillId="0" borderId="13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46" xfId="31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47" xfId="31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47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47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48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7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2" borderId="0" xfId="3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4" fillId="2" borderId="0" xfId="3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0" xfId="38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8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2" borderId="0" xfId="38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38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0" xfId="38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0" xfId="38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38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38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3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47" xfId="3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78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9" fillId="3" borderId="79" xfId="3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0" borderId="80" xfId="38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3" xfId="0" applyFont="fals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81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9" fillId="3" borderId="82" xfId="38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83" xfId="0" applyFont="fals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5" xfId="0" applyFont="false" applyBorder="true" applyAlignment="true" applyProtection="false">
      <alignment horizontal="general" vertical="center" textRotation="0" wrapText="true" indent="0" shrinkToFit="false"/>
      <protection locked="true" hidden="false"/>
    </xf>
    <xf numFmtId="169" fontId="9" fillId="3" borderId="82" xfId="38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0" borderId="81" xfId="38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84" xfId="38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81" xfId="38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85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9" fillId="3" borderId="86" xfId="38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87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2" fontId="9" fillId="3" borderId="82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88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89" xfId="2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81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2" fontId="9" fillId="3" borderId="84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90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91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2" fontId="9" fillId="3" borderId="92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93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94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2" fontId="9" fillId="0" borderId="2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25" xfId="38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9" fillId="0" borderId="89" xfId="38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4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2" fontId="9" fillId="0" borderId="95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96" xfId="38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9" fillId="0" borderId="97" xfId="38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94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2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5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3" borderId="2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14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98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9" fillId="3" borderId="99" xfId="38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0" borderId="2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9" fillId="0" borderId="48" xfId="38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00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9" fontId="9" fillId="3" borderId="92" xfId="3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0" borderId="10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0" fontId="9" fillId="3" borderId="86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0" borderId="49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0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0" fontId="9" fillId="3" borderId="103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0" fillId="0" borderId="0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2" borderId="0" xfId="38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9" fillId="2" borderId="0" xfId="38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2" borderId="0" xfId="29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29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7" fillId="2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2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7" fillId="0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2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0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44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95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95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8" fillId="0" borderId="104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72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105" xfId="29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0" borderId="106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107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87" xfId="29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11" fillId="0" borderId="0" xfId="29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2" fontId="20" fillId="3" borderId="99" xfId="29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20" fillId="0" borderId="108" xfId="29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" fillId="0" borderId="81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20" xfId="29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20" fillId="3" borderId="84" xfId="29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20" fillId="0" borderId="109" xfId="29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20" fillId="0" borderId="84" xfId="29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" fillId="0" borderId="22" xfId="29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20" fillId="0" borderId="92" xfId="29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20" fillId="0" borderId="110" xfId="29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" fillId="0" borderId="91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66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58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9" fillId="0" borderId="111" xfId="29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2" fontId="20" fillId="0" borderId="49" xfId="29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20" fillId="0" borderId="112" xfId="29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27" fillId="0" borderId="72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73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73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73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113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87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29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2" fontId="20" fillId="0" borderId="114" xfId="29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" fillId="2" borderId="0" xfId="2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111" xfId="29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7" fontId="9" fillId="2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115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116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105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2" fontId="20" fillId="0" borderId="106" xfId="29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20" fillId="0" borderId="107" xfId="29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20" fillId="2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14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117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45" xfId="29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40" fillId="0" borderId="2" xfId="29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" fillId="0" borderId="112" xfId="29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7" fillId="0" borderId="46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118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41" xfId="29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40" fillId="0" borderId="49" xfId="29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37" fillId="0" borderId="0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1" fillId="0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2" fillId="0" borderId="0" xfId="29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3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119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119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120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33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7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42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42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41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43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2" fillId="0" borderId="0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37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7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2" borderId="0" xfId="37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37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0" xfId="37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37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37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37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72" xfId="37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0" borderId="73" xfId="37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73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73" xfId="37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73" xfId="37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62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21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13" xfId="37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122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45" xfId="37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27" xfId="37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12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08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9" fillId="0" borderId="124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25" xfId="37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5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09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9" fillId="0" borderId="5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20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2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5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126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20" xfId="37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127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55" xfId="37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55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3" borderId="110" xfId="37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4" fontId="9" fillId="0" borderId="22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2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125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0" borderId="23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0" borderId="129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9" fillId="0" borderId="2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5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0" borderId="110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20" fillId="2" borderId="0" xfId="37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7" fillId="2" borderId="0" xfId="37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35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36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32" xfId="37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30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0" borderId="130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20" fillId="0" borderId="0" xfId="37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57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58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58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58" xfId="37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40" fillId="0" borderId="112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37" fillId="0" borderId="0" xfId="37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7" fillId="0" borderId="0" xfId="37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2" fillId="0" borderId="69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7" fontId="37" fillId="0" borderId="0" xfId="37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74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73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52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74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21" fillId="0" borderId="107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37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37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53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0" borderId="117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0" borderId="27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0" borderId="131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9" fillId="0" borderId="22" xfId="37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56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0" borderId="128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0" borderId="125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3" borderId="56" xfId="37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9" fillId="3" borderId="128" xfId="37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9" fillId="3" borderId="125" xfId="37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9" fillId="3" borderId="132" xfId="37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7" fontId="9" fillId="2" borderId="0" xfId="37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33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3" fillId="0" borderId="24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24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0" borderId="134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0" borderId="135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0" borderId="89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9" fillId="0" borderId="27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45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45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45" xfId="37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20" xfId="37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128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36" xfId="37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137" xfId="37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0" fillId="0" borderId="133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24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24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24" xfId="37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40" fillId="0" borderId="89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20" fillId="0" borderId="138" xfId="3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47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47" xfId="37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47" xfId="37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40" fillId="0" borderId="139" xfId="37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" fillId="0" borderId="78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120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120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140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141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41" xfId="2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41" xfId="2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118" xfId="2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2" borderId="0" xfId="32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3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0" xfId="3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3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3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3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3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44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95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3" fillId="0" borderId="142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5" fillId="0" borderId="14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5" fillId="0" borderId="9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0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94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29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34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67" xfId="3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3" borderId="127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3" borderId="53" xfId="3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54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5" fontId="9" fillId="3" borderId="5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3" borderId="56" xfId="3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6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7" fontId="9" fillId="2" borderId="0" xfId="3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126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144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9" fillId="3" borderId="132" xfId="3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77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66" xfId="3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12" xfId="3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104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45" xfId="32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146" xfId="3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47" xfId="3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48" xfId="3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3" borderId="19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27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54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46" fillId="2" borderId="0" xfId="3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6" fillId="0" borderId="0" xfId="3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49" xfId="32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50" xfId="32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50" xfId="3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2" xfId="3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89" xfId="3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2" borderId="0" xfId="32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46" xfId="32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47" xfId="32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47" xfId="3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7" fontId="33" fillId="0" borderId="49" xfId="32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7" fontId="33" fillId="0" borderId="112" xfId="32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32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47" fillId="0" borderId="0" xfId="3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7" fontId="46" fillId="0" borderId="0" xfId="3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51" xfId="32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9" fillId="3" borderId="39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35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8" fillId="0" borderId="142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0" fillId="0" borderId="17" xfId="3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3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44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95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104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152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81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0" borderId="49" xfId="3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9" fillId="3" borderId="27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117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76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14" fillId="0" borderId="2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125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125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6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33" fillId="0" borderId="49" xfId="32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3" fillId="0" borderId="112" xfId="32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7" fillId="2" borderId="0" xfId="38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7" fillId="0" borderId="0" xfId="38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7" fillId="0" borderId="0" xfId="38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38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3" fillId="0" borderId="0" xfId="38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2" fillId="0" borderId="0" xfId="38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38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115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9" fillId="3" borderId="153" xfId="38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54" xfId="38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0" borderId="107" xfId="38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94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29" xfId="38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3" borderId="134" xfId="38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2" fontId="9" fillId="3" borderId="155" xfId="38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8" fillId="0" borderId="38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87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28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9" fontId="9" fillId="3" borderId="156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9" fillId="3" borderId="19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33" fillId="0" borderId="97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91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44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2" fontId="9" fillId="3" borderId="137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18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0" borderId="114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9" fontId="9" fillId="3" borderId="157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9" fillId="3" borderId="21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9" fillId="3" borderId="117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33" fillId="0" borderId="131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81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55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33" fillId="0" borderId="131" xfId="38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85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30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8" fontId="9" fillId="0" borderId="29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8" fontId="9" fillId="0" borderId="1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8" fontId="9" fillId="0" borderId="30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3" fillId="0" borderId="97" xfId="38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52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23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9" fontId="9" fillId="3" borderId="136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9" fillId="3" borderId="16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9" fillId="3" borderId="125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0" fillId="0" borderId="131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79" fontId="9" fillId="0" borderId="136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9" fontId="9" fillId="0" borderId="16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9" fontId="9" fillId="0" borderId="125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3" fillId="0" borderId="110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2" fontId="9" fillId="0" borderId="158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30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08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39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59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2" fontId="9" fillId="0" borderId="64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9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27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5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9" fillId="3" borderId="56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16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55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9" fillId="0" borderId="7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60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2" fontId="9" fillId="0" borderId="161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42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62" xfId="38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3" fillId="0" borderId="112" xfId="38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30" fillId="0" borderId="17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38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41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0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4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4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4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4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44" xfId="41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5" borderId="83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5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5" borderId="16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4" borderId="0" xfId="4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95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8" fillId="5" borderId="8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8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8" fillId="5" borderId="16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5" borderId="104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64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50" xfId="4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6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62" xfId="4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63" xfId="4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9" fillId="3" borderId="87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9" fontId="9" fillId="3" borderId="19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9" fontId="9" fillId="3" borderId="27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19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21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27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0" borderId="54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9" fillId="3" borderId="81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9" fontId="9" fillId="3" borderId="16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9" fontId="9" fillId="3" borderId="125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16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125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0" borderId="6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9" fontId="9" fillId="3" borderId="1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2" borderId="0" xfId="41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149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50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7" fontId="8" fillId="0" borderId="165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2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0" fontId="9" fillId="0" borderId="49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0" borderId="89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9" fillId="4" borderId="0" xfId="41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46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47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66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49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11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0" xfId="41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21" fillId="0" borderId="0" xfId="4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4" borderId="0" xfId="41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50" xfId="4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9" fontId="9" fillId="3" borderId="27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54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9" fillId="3" borderId="125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6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9" fillId="0" borderId="94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24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7" fontId="8" fillId="0" borderId="24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151" xfId="41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9" fillId="0" borderId="146" xfId="4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148" xfId="4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9" fillId="0" borderId="27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25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9" fillId="3" borderId="85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9" fontId="9" fillId="3" borderId="32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1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14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4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3" fillId="0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0" xfId="41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89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47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49" fillId="0" borderId="17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2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7" fillId="0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7" fillId="0" borderId="0" xfId="4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7" fillId="0" borderId="0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2" fillId="0" borderId="0" xfId="4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0" fillId="0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0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67" xfId="4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6" fillId="0" borderId="168" xfId="4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54" xfId="4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15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154" xfId="4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169" xfId="41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170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3" borderId="152" xfId="41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9" fillId="3" borderId="159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9" fontId="9" fillId="3" borderId="159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9" fillId="0" borderId="159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59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3" borderId="159" xfId="41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9" fillId="0" borderId="171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9" fillId="3" borderId="91" xfId="41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9" fillId="3" borderId="125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8" fontId="9" fillId="0" borderId="125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25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3" borderId="125" xfId="41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9" fillId="0" borderId="6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9" fillId="0" borderId="172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150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44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0" borderId="114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33" fillId="0" borderId="94" xfId="4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33" fillId="0" borderId="173" xfId="41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12" fillId="2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9" fillId="0" borderId="87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45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64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27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54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9" fillId="0" borderId="141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41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9" fillId="0" borderId="161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9" fillId="0" borderId="42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9" fillId="0" borderId="8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2" fillId="0" borderId="0" xfId="4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12" fillId="0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4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4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6" fillId="0" borderId="168" xfId="4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5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3" borderId="149" xfId="41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8" fontId="9" fillId="0" borderId="75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74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9" fillId="3" borderId="5" xfId="41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8" fontId="9" fillId="0" borderId="16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6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8" fontId="9" fillId="0" borderId="18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3" borderId="87" xfId="41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72" fontId="9" fillId="0" borderId="27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" fillId="0" borderId="24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2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0" borderId="89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33" fillId="0" borderId="94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9" fillId="0" borderId="118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7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8" fillId="0" borderId="72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06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0" borderId="107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39" fillId="2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66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3" fillId="0" borderId="44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3" fillId="0" borderId="49" xfId="4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33" fillId="0" borderId="114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75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39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9" fillId="0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9" fillId="0" borderId="0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35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5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35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0" xfId="35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2" borderId="0" xfId="35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35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3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3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7" fillId="2" borderId="0" xfId="35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3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0" borderId="0" xfId="35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7" fillId="0" borderId="0" xfId="3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3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2" borderId="0" xfId="35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0" xfId="3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16" xfId="3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35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0" xfId="35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50" xfId="35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62" xfId="3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63" xfId="3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3" borderId="14" xfId="35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21" xfId="3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117" xfId="35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76" xfId="35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5" fontId="9" fillId="3" borderId="5" xfId="35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8" xfId="3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128" xfId="35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77" xfId="35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5" fontId="9" fillId="3" borderId="16" xfId="3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125" xfId="35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9" fillId="0" borderId="66" xfId="35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58" xfId="35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11" xfId="35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12" xfId="35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" fillId="0" borderId="0" xfId="35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7" fontId="33" fillId="0" borderId="0" xfId="35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0" xfId="35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50" xfId="35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176" xfId="35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17" xfId="3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42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4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4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0" xfId="4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4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4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42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4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4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4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72" xfId="42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62" xfId="4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73" xfId="4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63" xfId="4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3" borderId="87" xfId="4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9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9" fillId="3" borderId="45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54" xfId="42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7" fontId="9" fillId="0" borderId="0" xfId="4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81" xfId="4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6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9" fillId="3" borderId="20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6" xfId="42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7" fontId="9" fillId="2" borderId="0" xfId="4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0" fillId="2" borderId="0" xfId="4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66" xfId="42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58" xfId="42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11" xfId="4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12" xfId="42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30" fillId="0" borderId="0" xfId="42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4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0" xfId="4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7" fontId="51" fillId="0" borderId="0" xfId="42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77" fontId="51" fillId="0" borderId="0" xfId="42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20" fillId="0" borderId="0" xfId="42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77" fontId="20" fillId="0" borderId="0" xfId="4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72" xfId="42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7" fontId="20" fillId="0" borderId="63" xfId="42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5" fontId="9" fillId="3" borderId="21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9" fillId="3" borderId="0" xfId="42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76" xfId="42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5" fontId="9" fillId="3" borderId="91" xfId="4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8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0" borderId="94" xfId="42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24" xfId="42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25" xfId="4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89" xfId="42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21" fillId="0" borderId="94" xfId="42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0" fillId="0" borderId="155" xfId="4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24" xfId="4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20" fillId="0" borderId="67" xfId="42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" fillId="0" borderId="24" xfId="4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1" fillId="0" borderId="177" xfId="4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20" fillId="0" borderId="89" xfId="42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1" fillId="0" borderId="0" xfId="42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58" xfId="4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7" fontId="33" fillId="0" borderId="112" xfId="4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7" xfId="4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42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36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0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36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72" xfId="36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0" fillId="0" borderId="74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63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87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65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76" xfId="36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7" fontId="9" fillId="0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81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6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6" xfId="36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5" fontId="9" fillId="3" borderId="91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7" fontId="9" fillId="2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66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11" xfId="36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12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2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7" fontId="9" fillId="0" borderId="0" xfId="36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72" xfId="36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0" fillId="0" borderId="7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3" borderId="65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5" fillId="3" borderId="16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5" fillId="3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0" borderId="17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7" xfId="36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47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50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7" fontId="20" fillId="0" borderId="63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11" fillId="0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52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0" borderId="171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91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0" borderId="77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0" xfId="36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21" fillId="0" borderId="50" xfId="36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3" borderId="75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3" borderId="16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3" borderId="146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0" borderId="112" xfId="36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30" fillId="0" borderId="17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36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5" borderId="23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5" borderId="24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5" borderId="25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62" xfId="3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9" fillId="0" borderId="63" xfId="3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9" fillId="3" borderId="39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125" xfId="36" applyFont="true" applyBorder="true" applyAlignment="true" applyProtection="true">
      <alignment horizontal="right" vertical="center" textRotation="0" wrapText="true" indent="0" shrinkToFit="false"/>
      <protection locked="false" hidden="false"/>
    </xf>
    <xf numFmtId="172" fontId="9" fillId="0" borderId="76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5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0" borderId="6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35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8" fillId="0" borderId="177" xfId="36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89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145" xfId="36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155" xfId="3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146" xfId="3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9" fillId="0" borderId="148" xfId="3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9" fillId="3" borderId="16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0" borderId="125" xfId="36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37" fillId="2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7" fontId="37" fillId="2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49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50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65" xfId="36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46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47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66" xfId="36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69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7" fontId="37" fillId="0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2" fontId="9" fillId="3" borderId="27" xfId="36" applyFont="true" applyBorder="true" applyAlignment="true" applyProtection="true">
      <alignment horizontal="right" vertical="center" textRotation="0" wrapText="true" indent="0" shrinkToFit="false"/>
      <protection locked="false" hidden="false"/>
    </xf>
    <xf numFmtId="172" fontId="9" fillId="0" borderId="37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76" xfId="36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49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5" borderId="0" xfId="36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3" fillId="0" borderId="2" xfId="36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37" fillId="0" borderId="0" xfId="36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151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7" fontId="20" fillId="0" borderId="148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3" borderId="39" xfId="36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9" fillId="3" borderId="5" xfId="36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9" fillId="3" borderId="35" xfId="36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2" fontId="9" fillId="3" borderId="77" xfId="36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9" fillId="0" borderId="58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0" xfId="36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9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48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73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9" fillId="3" borderId="65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25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36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23" fillId="0" borderId="9" xfId="36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3" fillId="0" borderId="46" xfId="36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3" fillId="0" borderId="47" xfId="36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3" fillId="0" borderId="48" xfId="36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72" xfId="3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62" xfId="3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73" xfId="3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7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63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3" borderId="19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45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81" fontId="5" fillId="3" borderId="65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81" fontId="5" fillId="3" borderId="19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20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81" fontId="5" fillId="3" borderId="16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22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81" fontId="5" fillId="3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8" fillId="0" borderId="17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0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7" fontId="20" fillId="0" borderId="0" xfId="36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0" borderId="0" xfId="36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5" fontId="9" fillId="0" borderId="0" xfId="36" applyFont="true" applyBorder="false" applyAlignment="true" applyProtection="true">
      <alignment horizontal="left" vertical="center" textRotation="0" wrapText="true" indent="0" shrinkToFit="false"/>
      <protection locked="false" hidden="false"/>
    </xf>
    <xf numFmtId="164" fontId="9" fillId="0" borderId="0" xfId="36" applyFont="true" applyBorder="false" applyAlignment="true" applyProtection="true">
      <alignment horizontal="left" vertical="center" textRotation="0" wrapText="true" indent="0" shrinkToFit="false"/>
      <protection locked="false" hidden="false"/>
    </xf>
    <xf numFmtId="172" fontId="9" fillId="0" borderId="0" xfId="36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30" fillId="0" borderId="0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34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4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7" fillId="2" borderId="0" xfId="34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7" fillId="0" borderId="0" xfId="34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0" xfId="34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34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3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34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3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3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6" fillId="0" borderId="72" xfId="4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178" xfId="3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63" xfId="3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47" xfId="3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5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19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76" xfId="3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2" fontId="9" fillId="3" borderId="6" xfId="3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5" fontId="9" fillId="3" borderId="16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8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0" borderId="66" xfId="3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58" xfId="3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0" borderId="112" xfId="3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54" xfId="3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74" xfId="3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46" xfId="3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3" borderId="5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21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9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8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42" fillId="0" borderId="0" xfId="34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1" fillId="0" borderId="17" xfId="3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3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34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50" xfId="4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17" xfId="3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62" xfId="3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63" xfId="3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43" xfId="3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24" xfId="4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126" xfId="4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126" xfId="3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9" fillId="0" borderId="0" xfId="34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5" borderId="47" xfId="3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2" xfId="3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3" fillId="0" borderId="17" xfId="3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62" xfId="3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51" xfId="34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9" fillId="3" borderId="39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5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35" xfId="34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4" fillId="0" borderId="12" xfId="34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62" xfId="3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62" xfId="34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0" borderId="63" xfId="3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145" xfId="34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39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79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9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5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56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5" fillId="3" borderId="19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2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5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36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25" xfId="34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35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80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46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17" xfId="34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2" borderId="0" xfId="4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4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0" xfId="4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4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0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4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3" borderId="167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3" borderId="170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3" borderId="172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50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78" xfId="4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54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69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4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46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48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0" borderId="133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65" xfId="4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9" fontId="9" fillId="3" borderId="15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5" fontId="9" fillId="3" borderId="67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1" xfId="4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9" fontId="9" fillId="0" borderId="15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9" fillId="0" borderId="67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" xfId="4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8" fillId="3" borderId="133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65" xfId="4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24" fillId="2" borderId="0" xfId="4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7" fillId="2" borderId="0" xfId="4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2" fillId="2" borderId="0" xfId="4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8" fillId="3" borderId="138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19" xfId="4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9" fontId="9" fillId="3" borderId="16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5" fontId="9" fillId="3" borderId="61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42" xfId="4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37" fillId="0" borderId="0" xfId="4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1" fillId="0" borderId="17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0" xfId="4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4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181" xfId="4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23" fillId="0" borderId="182" xfId="4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39" fillId="0" borderId="0" xfId="4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168" xfId="4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3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169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51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80" xfId="4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3" xfId="4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19" xfId="4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2" fontId="11" fillId="3" borderId="54" xfId="40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4" fontId="9" fillId="0" borderId="5" xfId="4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9" fillId="3" borderId="16" xfId="4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11" fillId="3" borderId="6" xfId="40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4" fontId="9" fillId="0" borderId="7" xfId="4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9" fillId="3" borderId="1" xfId="4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8" xfId="4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11" fillId="3" borderId="77" xfId="40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4" fontId="23" fillId="0" borderId="176" xfId="4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72" fontId="23" fillId="0" borderId="112" xfId="4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1" fillId="0" borderId="0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0" borderId="0" xfId="4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4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3" fontId="9" fillId="0" borderId="0" xfId="4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3" borderId="45" xfId="4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2" fontId="0" fillId="3" borderId="45" xfId="0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73" fontId="9" fillId="0" borderId="22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3" xfId="36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73" fontId="9" fillId="0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83" xfId="36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9" fillId="0" borderId="154" xfId="3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169" xfId="3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5" xfId="4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9" fillId="0" borderId="6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78" xfId="4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3" borderId="119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4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81" xfId="4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13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3" borderId="16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3" borderId="6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7" xfId="4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9" fillId="0" borderId="8" xfId="36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41" xfId="4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9" fillId="0" borderId="42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9" fillId="0" borderId="8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2" fillId="0" borderId="0" xfId="4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82" fontId="37" fillId="0" borderId="0" xfId="4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84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53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54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85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69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86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57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21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87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76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88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80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46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89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48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90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3" borderId="156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19" xfId="4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0" borderId="28" xfId="4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54" xfId="4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100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3" borderId="136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16" xfId="4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126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8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9" fillId="3" borderId="55" xfId="4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6" xfId="4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33" fillId="0" borderId="66" xfId="4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58" xfId="4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111" xfId="4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112" xfId="4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17" xfId="4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4" borderId="0" xfId="4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4" borderId="0" xfId="4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11" fillId="3" borderId="45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11" fillId="3" borderId="20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39" fillId="7" borderId="0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72" xfId="32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74" xfId="3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63" xfId="3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3" borderId="85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39" fillId="0" borderId="0" xfId="3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9" fillId="0" borderId="0" xfId="3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9" fillId="3" borderId="128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128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77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21" fillId="0" borderId="0" xfId="41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4" fillId="5" borderId="0" xfId="4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5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18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21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55" fillId="3" borderId="87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9" fontId="55" fillId="3" borderId="19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9" fontId="55" fillId="3" borderId="27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55" fillId="3" borderId="19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55" fillId="3" borderId="21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55" fillId="3" borderId="27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5" fontId="55" fillId="3" borderId="81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9" fontId="55" fillId="3" borderId="16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9" fontId="55" fillId="3" borderId="125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55" fillId="3" borderId="16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55" fillId="3" borderId="125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55" fillId="3" borderId="1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55" fillId="3" borderId="35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9" fontId="55" fillId="3" borderId="1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9" fontId="55" fillId="3" borderId="1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55" fillId="3" borderId="1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0" borderId="37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9" fillId="0" borderId="0" xfId="41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42" fillId="0" borderId="49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5" fontId="9" fillId="3" borderId="128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9" fontId="9" fillId="3" borderId="128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0" borderId="128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3" borderId="128" xfId="41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9" fillId="0" borderId="77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9" fillId="0" borderId="58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58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49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2" fontId="9" fillId="0" borderId="112" xfId="41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39" fillId="0" borderId="0" xfId="4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15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152" xfId="41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8" fontId="9" fillId="0" borderId="174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0" borderId="91" xfId="41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8" fontId="9" fillId="0" borderId="27" xfId="41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7" fillId="0" borderId="0" xfId="35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1" fillId="0" borderId="50" xfId="35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1" fontId="9" fillId="3" borderId="117" xfId="3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76" xfId="35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1" fontId="9" fillId="3" borderId="128" xfId="3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77" xfId="35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1" fontId="9" fillId="3" borderId="125" xfId="3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0" fillId="0" borderId="66" xfId="35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58" xfId="35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111" xfId="35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20" fillId="0" borderId="112" xfId="35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" fillId="2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9" fillId="3" borderId="81" xfId="42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2" fontId="9" fillId="3" borderId="54" xfId="42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2" fontId="9" fillId="3" borderId="6" xfId="42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5" fontId="9" fillId="3" borderId="91" xfId="42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2" fontId="9" fillId="3" borderId="76" xfId="42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2" fontId="9" fillId="0" borderId="112" xfId="4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7" fontId="11" fillId="0" borderId="0" xfId="42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72" xfId="42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7" fontId="20" fillId="0" borderId="63" xfId="4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3" borderId="87" xfId="42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2" fontId="9" fillId="0" borderId="89" xfId="42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7" fontId="20" fillId="0" borderId="67" xfId="42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9" fillId="3" borderId="22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77" xfId="42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2" fontId="9" fillId="3" borderId="125" xfId="3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3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3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68" xfId="35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0" borderId="154" xfId="3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169" xfId="3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3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0" fillId="3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2" xfId="3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154" xfId="3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17" xfId="36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17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169" xfId="36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Hyperlink 2" xfId="21"/>
    <cellStyle name="Normal 2" xfId="22"/>
    <cellStyle name="Normal 3" xfId="23"/>
    <cellStyle name="Normal 3 2" xfId="24"/>
    <cellStyle name="Normal 3 3" xfId="25"/>
    <cellStyle name="Normal 4" xfId="26"/>
    <cellStyle name="Normal 5" xfId="27"/>
    <cellStyle name="Normal 6" xfId="28"/>
    <cellStyle name="Normal_Balance-1" xfId="29"/>
    <cellStyle name="Normal_bank-12 (2)" xfId="30"/>
    <cellStyle name="Normal_CASH WK-3" xfId="31"/>
    <cellStyle name="Normal_COMP BAL WK-4" xfId="32"/>
    <cellStyle name="Normal_Constants " xfId="33"/>
    <cellStyle name="Normal_EXPENSE WK-10 (2)" xfId="34"/>
    <cellStyle name="Normal_IKT-IN WK-7 (2)" xfId="35"/>
    <cellStyle name="Normal_INCOME WK-9 (2)" xfId="36"/>
    <cellStyle name="Normal_Income-2" xfId="37"/>
    <cellStyle name="Normal_INVENT WK-5 (3)" xfId="38"/>
    <cellStyle name="Normal_Me-Info-11 (2)" xfId="39"/>
    <cellStyle name="Normal_NEWS WK-13 (2)" xfId="40"/>
    <cellStyle name="Normal_PROP  WK-6 (2)" xfId="41"/>
    <cellStyle name="Normal_TRANS WK-8 (2)" xfId="42"/>
    <cellStyle name="*unknown*" xfId="20" builtinId="8"/>
  </cellStyles>
  <dxfs count="65">
    <dxf>
      <font>
        <color rgb="FF00B050"/>
      </font>
    </dxf>
    <dxf>
      <font>
        <color rgb="FFFF0000"/>
        <u val="double"/>
      </font>
    </dxf>
    <dxf>
      <font>
        <color rgb="FFE46C0A"/>
        <u val="single"/>
      </font>
    </dxf>
    <dxf>
      <font>
        <color rgb="FFFF0000"/>
        <u val="double"/>
      </font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ont>
        <color rgb="FFFFFF99"/>
      </font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ont>
        <color rgb="FFFFFFFF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FFCC00"/>
        </patternFill>
      </fill>
    </dxf>
    <dxf>
      <fill>
        <patternFill>
          <bgColor rgb="FFFFFF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 val="1"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ont>
        <color rgb="FFFFFFFF"/>
      </font>
    </dxf>
    <dxf>
      <fill>
        <patternFill>
          <bgColor rgb="FFCCFFCC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ont>
        <color rgb="FFFFFFFF"/>
      </font>
    </dxf>
    <dxf>
      <fill>
        <patternFill>
          <bgColor rgb="FFCCFFCC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46C0A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worksheet" Target="worksheets/sheet20.xml"/><Relationship Id="rId24" Type="http://schemas.openxmlformats.org/officeDocument/2006/relationships/worksheet" Target="worksheets/sheet21.xml"/><Relationship Id="rId25" Type="http://schemas.openxmlformats.org/officeDocument/2006/relationships/worksheet" Target="worksheets/sheet22.xml"/><Relationship Id="rId26" Type="http://schemas.openxmlformats.org/officeDocument/2006/relationships/worksheet" Target="worksheets/sheet23.xml"/><Relationship Id="rId27" Type="http://schemas.openxmlformats.org/officeDocument/2006/relationships/worksheet" Target="worksheets/sheet24.xml"/><Relationship Id="rId28" Type="http://schemas.openxmlformats.org/officeDocument/2006/relationships/worksheet" Target="worksheets/sheet25.xml"/><Relationship Id="rId29" Type="http://schemas.openxmlformats.org/officeDocument/2006/relationships/worksheet" Target="worksheets/sheet26.xml"/><Relationship Id="rId30" Type="http://schemas.openxmlformats.org/officeDocument/2006/relationships/worksheet" Target="worksheets/sheet27.xml"/><Relationship Id="rId31" Type="http://schemas.openxmlformats.org/officeDocument/2006/relationships/worksheet" Target="worksheets/sheet28.xml"/><Relationship Id="rId32" Type="http://schemas.openxmlformats.org/officeDocument/2006/relationships/worksheet" Target="worksheets/sheet29.xml"/><Relationship Id="rId33" Type="http://schemas.openxmlformats.org/officeDocument/2006/relationships/worksheet" Target="worksheets/sheet30.xml"/><Relationship Id="rId34" Type="http://schemas.openxmlformats.org/officeDocument/2006/relationships/worksheet" Target="worksheets/sheet31.xml"/><Relationship Id="rId35" Type="http://schemas.openxmlformats.org/officeDocument/2006/relationships/worksheet" Target="worksheets/sheet32.xml"/><Relationship Id="rId36" Type="http://schemas.openxmlformats.org/officeDocument/2006/relationships/worksheet" Target="worksheets/sheet33.xml"/><Relationship Id="rId37" Type="http://schemas.openxmlformats.org/officeDocument/2006/relationships/worksheet" Target="worksheets/sheet34.xml"/><Relationship Id="rId38" Type="http://schemas.openxmlformats.org/officeDocument/2006/relationships/worksheet" Target="worksheets/sheet35.xml"/><Relationship Id="rId39" Type="http://schemas.openxmlformats.org/officeDocument/2006/relationships/worksheet" Target="worksheets/sheet36.xml"/><Relationship Id="rId40" Type="http://schemas.openxmlformats.org/officeDocument/2006/relationships/worksheet" Target="worksheets/sheet37.xml"/><Relationship Id="rId41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10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11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12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13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14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15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16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17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18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_rels/drawing19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20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21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2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2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24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25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26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27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28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29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0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1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2.xml.rels><?xml version="1.0" encoding="UTF-8"?>
<Relationships xmlns="http://schemas.openxmlformats.org/package/2006/relationships"><Relationship Id="rId1" Type="http://schemas.openxmlformats.org/officeDocument/2006/relationships/image" Target="../media/image6.jpeg"/>
</Relationships>
</file>

<file path=xl/drawings/_rels/drawing3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34.xml.rels><?xml version="1.0" encoding="UTF-8"?>
<Relationships xmlns="http://schemas.openxmlformats.org/package/2006/relationships"><Relationship Id="rId1" Type="http://schemas.openxmlformats.org/officeDocument/2006/relationships/image" Target="../media/image6.jpeg"/>
</Relationships>
</file>

<file path=xl/drawings/_rels/drawing35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36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37.xml.rels><?xml version="1.0" encoding="UTF-8"?>
<Relationships xmlns="http://schemas.openxmlformats.org/package/2006/relationships"><Relationship Id="rId1" Type="http://schemas.openxmlformats.org/officeDocument/2006/relationships/image" Target="../media/image7.jpeg"/>
</Relationships>
</file>

<file path=xl/drawings/_rels/drawing38.xml.rels><?xml version="1.0" encoding="UTF-8"?>
<Relationships xmlns="http://schemas.openxmlformats.org/package/2006/relationships"><Relationship Id="rId1" Type="http://schemas.openxmlformats.org/officeDocument/2006/relationships/image" Target="../media/image8.jpeg"/>
</Relationships>
</file>

<file path=xl/drawings/_rels/drawing39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40.xml.rels><?xml version="1.0" encoding="UTF-8"?>
<Relationships xmlns="http://schemas.openxmlformats.org/package/2006/relationships"><Relationship Id="rId1" Type="http://schemas.openxmlformats.org/officeDocument/2006/relationships/image" Target="../media/image2.jpeg"/><Relationship Id="rId2" Type="http://schemas.openxmlformats.org/officeDocument/2006/relationships/image" Target="../media/image2.jpeg"/>
</Relationships>
</file>

<file path=xl/drawings/_rels/drawing41.xml.rels><?xml version="1.0" encoding="UTF-8"?>
<Relationships xmlns="http://schemas.openxmlformats.org/package/2006/relationships"><Relationship Id="rId1" Type="http://schemas.openxmlformats.org/officeDocument/2006/relationships/image" Target="../media/image2.jpeg"/><Relationship Id="rId2" Type="http://schemas.openxmlformats.org/officeDocument/2006/relationships/image" Target="../media/image2.jpeg"/><Relationship Id="rId3" Type="http://schemas.openxmlformats.org/officeDocument/2006/relationships/image" Target="../media/image2.jpeg"/>
</Relationships>
</file>

<file path=xl/drawings/_rels/drawing4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</xdr:col>
      <xdr:colOff>38160</xdr:colOff>
      <xdr:row>2</xdr:row>
      <xdr:rowOff>0</xdr:rowOff>
    </xdr:from>
    <xdr:to>
      <xdr:col>4</xdr:col>
      <xdr:colOff>390240</xdr:colOff>
      <xdr:row>3</xdr:row>
      <xdr:rowOff>179280</xdr:rowOff>
    </xdr:to>
    <xdr:pic>
      <xdr:nvPicPr>
        <xdr:cNvPr id="1" name="Picture 14" descr="sca%20logo"/>
        <xdr:cNvPicPr/>
      </xdr:nvPicPr>
      <xdr:blipFill>
        <a:blip r:embed="rId1"/>
        <a:stretch/>
      </xdr:blipFill>
      <xdr:spPr>
        <a:xfrm>
          <a:off x="6522120" y="371520"/>
          <a:ext cx="352080" cy="369720"/>
        </a:xfrm>
        <a:prstGeom prst="rect">
          <a:avLst/>
        </a:prstGeom>
        <a:noFill/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32760</xdr:colOff>
          <xdr:row>29</xdr:row>
          <xdr:rowOff>21600</xdr:rowOff>
        </xdr:from>
        <xdr:to>
          <xdr:col>2</xdr:col>
          <xdr:colOff>-1183320</xdr:colOff>
          <xdr:row>30</xdr:row>
          <xdr:rowOff>16200</xdr:rowOff>
        </xdr:to>
        <xdr:sp>
          <xdr:nvSpPr>
            <xdr:cNvPr id="1001" name="B_Print4" descr="PRINT ToC, Pages 1-4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ToC, Pages 1-4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32760</xdr:colOff>
          <xdr:row>30</xdr:row>
          <xdr:rowOff>32760</xdr:rowOff>
        </xdr:from>
        <xdr:to>
          <xdr:col>2</xdr:col>
          <xdr:colOff>-1183320</xdr:colOff>
          <xdr:row>31</xdr:row>
          <xdr:rowOff>16560</xdr:rowOff>
        </xdr:to>
        <xdr:sp>
          <xdr:nvSpPr>
            <xdr:cNvPr id="1002" name="B_PrintForward" descr="PRINT Pages Front to Back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Pages Front to Back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32760</xdr:colOff>
          <xdr:row>31</xdr:row>
          <xdr:rowOff>38160</xdr:rowOff>
        </xdr:from>
        <xdr:to>
          <xdr:col>2</xdr:col>
          <xdr:colOff>-1183320</xdr:colOff>
          <xdr:row>32</xdr:row>
          <xdr:rowOff>21960</xdr:rowOff>
        </xdr:to>
        <xdr:sp>
          <xdr:nvSpPr>
            <xdr:cNvPr id="1003" name="B_PrintBackward" descr="PRINT Pages Back to Fro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Pages Back to Front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48960</xdr:colOff>
          <xdr:row>29</xdr:row>
          <xdr:rowOff>21600</xdr:rowOff>
        </xdr:from>
        <xdr:to>
          <xdr:col>3</xdr:col>
          <xdr:colOff>-1508040</xdr:colOff>
          <xdr:row>30</xdr:row>
          <xdr:rowOff>16200</xdr:rowOff>
        </xdr:to>
        <xdr:sp>
          <xdr:nvSpPr>
            <xdr:cNvPr id="1004" name="B_NewPeriod" descr="CREATE next Quarter/Year Report in New Workbook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CREATE next Quarter/Year Report in New Workbook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48960</xdr:colOff>
          <xdr:row>30</xdr:row>
          <xdr:rowOff>32760</xdr:rowOff>
        </xdr:from>
        <xdr:to>
          <xdr:col>3</xdr:col>
          <xdr:colOff>-1508040</xdr:colOff>
          <xdr:row>31</xdr:row>
          <xdr:rowOff>16560</xdr:rowOff>
        </xdr:to>
        <xdr:sp>
          <xdr:nvSpPr>
            <xdr:cNvPr id="1005" name="B_ImportLedger" descr="IMPORT from a Ledger Workbook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 from a Ledger Workbook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48960</xdr:colOff>
          <xdr:row>31</xdr:row>
          <xdr:rowOff>38160</xdr:rowOff>
        </xdr:from>
        <xdr:to>
          <xdr:col>3</xdr:col>
          <xdr:colOff>-1508040</xdr:colOff>
          <xdr:row>32</xdr:row>
          <xdr:rowOff>21960</xdr:rowOff>
        </xdr:to>
        <xdr:sp>
          <xdr:nvSpPr>
            <xdr:cNvPr id="1006" name="B_ImportReport" descr="IMPORT from another Report Workbook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 from another Report Workbook</a:t>
              </a:r>
            </a:p>
          </xdr:txBody>
        </xdr:sp>
        <xdr:clientData/>
      </xdr:twoCellAnchor>
    </mc:Choice>
  </mc:AlternateContent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352080</xdr:colOff>
      <xdr:row>3</xdr:row>
      <xdr:rowOff>180720</xdr:rowOff>
    </xdr:to>
    <xdr:pic>
      <xdr:nvPicPr>
        <xdr:cNvPr id="2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352080</xdr:colOff>
      <xdr:row>3</xdr:row>
      <xdr:rowOff>180720</xdr:rowOff>
    </xdr:to>
    <xdr:pic>
      <xdr:nvPicPr>
        <xdr:cNvPr id="3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352080</xdr:colOff>
      <xdr:row>3</xdr:row>
      <xdr:rowOff>180720</xdr:rowOff>
    </xdr:to>
    <xdr:pic>
      <xdr:nvPicPr>
        <xdr:cNvPr id="4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352080</xdr:colOff>
      <xdr:row>3</xdr:row>
      <xdr:rowOff>180720</xdr:rowOff>
    </xdr:to>
    <xdr:pic>
      <xdr:nvPicPr>
        <xdr:cNvPr id="5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3</xdr:col>
      <xdr:colOff>104400</xdr:colOff>
      <xdr:row>3</xdr:row>
      <xdr:rowOff>180720</xdr:rowOff>
    </xdr:to>
    <xdr:pic>
      <xdr:nvPicPr>
        <xdr:cNvPr id="6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964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352080</xdr:colOff>
      <xdr:row>3</xdr:row>
      <xdr:rowOff>180720</xdr:rowOff>
    </xdr:to>
    <xdr:pic>
      <xdr:nvPicPr>
        <xdr:cNvPr id="7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352080</xdr:colOff>
      <xdr:row>3</xdr:row>
      <xdr:rowOff>180720</xdr:rowOff>
    </xdr:to>
    <xdr:pic>
      <xdr:nvPicPr>
        <xdr:cNvPr id="8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19080</xdr:colOff>
      <xdr:row>1</xdr:row>
      <xdr:rowOff>162000</xdr:rowOff>
    </xdr:from>
    <xdr:to>
      <xdr:col>3</xdr:col>
      <xdr:colOff>123480</xdr:colOff>
      <xdr:row>3</xdr:row>
      <xdr:rowOff>161640</xdr:rowOff>
    </xdr:to>
    <xdr:pic>
      <xdr:nvPicPr>
        <xdr:cNvPr id="9" name="Picture 14" descr="sca%20logo"/>
        <xdr:cNvPicPr/>
      </xdr:nvPicPr>
      <xdr:blipFill>
        <a:blip r:embed="rId1"/>
        <a:stretch/>
      </xdr:blipFill>
      <xdr:spPr>
        <a:xfrm>
          <a:off x="529560" y="343080"/>
          <a:ext cx="359640" cy="361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352080</xdr:colOff>
      <xdr:row>3</xdr:row>
      <xdr:rowOff>180720</xdr:rowOff>
    </xdr:to>
    <xdr:pic>
      <xdr:nvPicPr>
        <xdr:cNvPr id="10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3</xdr:col>
      <xdr:colOff>0</xdr:colOff>
      <xdr:row>2</xdr:row>
      <xdr:rowOff>0</xdr:rowOff>
    </xdr:from>
    <xdr:to>
      <xdr:col>4</xdr:col>
      <xdr:colOff>104400</xdr:colOff>
      <xdr:row>3</xdr:row>
      <xdr:rowOff>180720</xdr:rowOff>
    </xdr:to>
    <xdr:pic>
      <xdr:nvPicPr>
        <xdr:cNvPr id="11" name="Picture 14" descr="sca%20logo"/>
        <xdr:cNvPicPr/>
      </xdr:nvPicPr>
      <xdr:blipFill>
        <a:blip r:embed="rId1"/>
        <a:stretch/>
      </xdr:blipFill>
      <xdr:spPr>
        <a:xfrm>
          <a:off x="906840" y="361800"/>
          <a:ext cx="35964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352080</xdr:colOff>
      <xdr:row>3</xdr:row>
      <xdr:rowOff>180720</xdr:rowOff>
    </xdr:to>
    <xdr:pic>
      <xdr:nvPicPr>
        <xdr:cNvPr id="12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352080</xdr:colOff>
      <xdr:row>3</xdr:row>
      <xdr:rowOff>180720</xdr:rowOff>
    </xdr:to>
    <xdr:pic>
      <xdr:nvPicPr>
        <xdr:cNvPr id="13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352080</xdr:colOff>
      <xdr:row>3</xdr:row>
      <xdr:rowOff>180720</xdr:rowOff>
    </xdr:to>
    <xdr:pic>
      <xdr:nvPicPr>
        <xdr:cNvPr id="14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352080</xdr:colOff>
      <xdr:row>3</xdr:row>
      <xdr:rowOff>180720</xdr:rowOff>
    </xdr:to>
    <xdr:pic>
      <xdr:nvPicPr>
        <xdr:cNvPr id="15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352080</xdr:colOff>
      <xdr:row>3</xdr:row>
      <xdr:rowOff>180720</xdr:rowOff>
    </xdr:to>
    <xdr:pic>
      <xdr:nvPicPr>
        <xdr:cNvPr id="16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3</xdr:col>
      <xdr:colOff>104400</xdr:colOff>
      <xdr:row>3</xdr:row>
      <xdr:rowOff>180720</xdr:rowOff>
    </xdr:to>
    <xdr:pic>
      <xdr:nvPicPr>
        <xdr:cNvPr id="17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964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57240</xdr:colOff>
      <xdr:row>2</xdr:row>
      <xdr:rowOff>9360</xdr:rowOff>
    </xdr:from>
    <xdr:to>
      <xdr:col>2</xdr:col>
      <xdr:colOff>161640</xdr:colOff>
      <xdr:row>4</xdr:row>
      <xdr:rowOff>9000</xdr:rowOff>
    </xdr:to>
    <xdr:pic>
      <xdr:nvPicPr>
        <xdr:cNvPr id="18" name="Picture 14" descr="sca%20logo"/>
        <xdr:cNvPicPr/>
      </xdr:nvPicPr>
      <xdr:blipFill>
        <a:blip r:embed="rId1"/>
        <a:stretch/>
      </xdr:blipFill>
      <xdr:spPr>
        <a:xfrm>
          <a:off x="312480" y="371160"/>
          <a:ext cx="35964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19080</xdr:colOff>
      <xdr:row>1</xdr:row>
      <xdr:rowOff>133200</xdr:rowOff>
    </xdr:from>
    <xdr:to>
      <xdr:col>2</xdr:col>
      <xdr:colOff>371160</xdr:colOff>
      <xdr:row>3</xdr:row>
      <xdr:rowOff>132840</xdr:rowOff>
    </xdr:to>
    <xdr:pic>
      <xdr:nvPicPr>
        <xdr:cNvPr id="19" name="Picture 14" descr="sca%20logo"/>
        <xdr:cNvPicPr/>
      </xdr:nvPicPr>
      <xdr:blipFill>
        <a:blip r:embed="rId1"/>
        <a:stretch/>
      </xdr:blipFill>
      <xdr:spPr>
        <a:xfrm>
          <a:off x="529560" y="314280"/>
          <a:ext cx="352080" cy="361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9360</xdr:colOff>
      <xdr:row>1</xdr:row>
      <xdr:rowOff>142920</xdr:rowOff>
    </xdr:from>
    <xdr:to>
      <xdr:col>3</xdr:col>
      <xdr:colOff>113760</xdr:colOff>
      <xdr:row>3</xdr:row>
      <xdr:rowOff>142560</xdr:rowOff>
    </xdr:to>
    <xdr:pic>
      <xdr:nvPicPr>
        <xdr:cNvPr id="20" name="Picture 14" descr="sca%20logo"/>
        <xdr:cNvPicPr/>
      </xdr:nvPicPr>
      <xdr:blipFill>
        <a:blip r:embed="rId1"/>
        <a:stretch/>
      </xdr:blipFill>
      <xdr:spPr>
        <a:xfrm>
          <a:off x="519840" y="324000"/>
          <a:ext cx="359640" cy="361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19080</xdr:colOff>
      <xdr:row>2</xdr:row>
      <xdr:rowOff>0</xdr:rowOff>
    </xdr:from>
    <xdr:to>
      <xdr:col>2</xdr:col>
      <xdr:colOff>371160</xdr:colOff>
      <xdr:row>3</xdr:row>
      <xdr:rowOff>180720</xdr:rowOff>
    </xdr:to>
    <xdr:pic>
      <xdr:nvPicPr>
        <xdr:cNvPr id="21" name="Picture 14" descr="sca%20logo"/>
        <xdr:cNvPicPr/>
      </xdr:nvPicPr>
      <xdr:blipFill>
        <a:blip r:embed="rId1"/>
        <a:stretch/>
      </xdr:blipFill>
      <xdr:spPr>
        <a:xfrm>
          <a:off x="52956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19080</xdr:colOff>
      <xdr:row>2</xdr:row>
      <xdr:rowOff>0</xdr:rowOff>
    </xdr:from>
    <xdr:to>
      <xdr:col>2</xdr:col>
      <xdr:colOff>371160</xdr:colOff>
      <xdr:row>3</xdr:row>
      <xdr:rowOff>180720</xdr:rowOff>
    </xdr:to>
    <xdr:pic>
      <xdr:nvPicPr>
        <xdr:cNvPr id="22" name="Picture 1" descr="sca%20logo"/>
        <xdr:cNvPicPr/>
      </xdr:nvPicPr>
      <xdr:blipFill>
        <a:blip r:embed="rId1"/>
        <a:stretch/>
      </xdr:blipFill>
      <xdr:spPr>
        <a:xfrm>
          <a:off x="52956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19080</xdr:colOff>
      <xdr:row>1</xdr:row>
      <xdr:rowOff>142920</xdr:rowOff>
    </xdr:from>
    <xdr:to>
      <xdr:col>2</xdr:col>
      <xdr:colOff>371160</xdr:colOff>
      <xdr:row>3</xdr:row>
      <xdr:rowOff>142560</xdr:rowOff>
    </xdr:to>
    <xdr:pic>
      <xdr:nvPicPr>
        <xdr:cNvPr id="23" name="Picture 4" descr="sca%20logo"/>
        <xdr:cNvPicPr/>
      </xdr:nvPicPr>
      <xdr:blipFill>
        <a:blip r:embed="rId1"/>
        <a:stretch/>
      </xdr:blipFill>
      <xdr:spPr>
        <a:xfrm>
          <a:off x="529560" y="324000"/>
          <a:ext cx="352080" cy="361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1</xdr:row>
      <xdr:rowOff>133200</xdr:rowOff>
    </xdr:from>
    <xdr:to>
      <xdr:col>2</xdr:col>
      <xdr:colOff>352080</xdr:colOff>
      <xdr:row>3</xdr:row>
      <xdr:rowOff>132840</xdr:rowOff>
    </xdr:to>
    <xdr:pic>
      <xdr:nvPicPr>
        <xdr:cNvPr id="24" name="Picture 14" descr="sca%20logo"/>
        <xdr:cNvPicPr/>
      </xdr:nvPicPr>
      <xdr:blipFill>
        <a:blip r:embed="rId1"/>
        <a:stretch/>
      </xdr:blipFill>
      <xdr:spPr>
        <a:xfrm>
          <a:off x="510480" y="314280"/>
          <a:ext cx="352080" cy="361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352080</xdr:colOff>
      <xdr:row>3</xdr:row>
      <xdr:rowOff>180720</xdr:rowOff>
    </xdr:to>
    <xdr:pic>
      <xdr:nvPicPr>
        <xdr:cNvPr id="25" name="Picture 14" descr="sca%20logo"/>
        <xdr:cNvPicPr/>
      </xdr:nvPicPr>
      <xdr:blipFill>
        <a:blip r:embed="rId1"/>
        <a:stretch/>
      </xdr:blipFill>
      <xdr:spPr>
        <a:xfrm>
          <a:off x="510480" y="361800"/>
          <a:ext cx="352080" cy="361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1</xdr:row>
      <xdr:rowOff>152280</xdr:rowOff>
    </xdr:from>
    <xdr:to>
      <xdr:col>2</xdr:col>
      <xdr:colOff>352080</xdr:colOff>
      <xdr:row>4</xdr:row>
      <xdr:rowOff>47160</xdr:rowOff>
    </xdr:to>
    <xdr:pic>
      <xdr:nvPicPr>
        <xdr:cNvPr id="26" name="Picture 1" descr="sca%20logo"/>
        <xdr:cNvPicPr/>
      </xdr:nvPicPr>
      <xdr:blipFill>
        <a:blip r:embed="rId1"/>
        <a:stretch/>
      </xdr:blipFill>
      <xdr:spPr>
        <a:xfrm>
          <a:off x="510480" y="314280"/>
          <a:ext cx="352080" cy="3805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9360</xdr:colOff>
      <xdr:row>1</xdr:row>
      <xdr:rowOff>142920</xdr:rowOff>
    </xdr:from>
    <xdr:to>
      <xdr:col>3</xdr:col>
      <xdr:colOff>113760</xdr:colOff>
      <xdr:row>3</xdr:row>
      <xdr:rowOff>142560</xdr:rowOff>
    </xdr:to>
    <xdr:pic>
      <xdr:nvPicPr>
        <xdr:cNvPr id="27" name="Picture 14" descr="sca%20logo"/>
        <xdr:cNvPicPr/>
      </xdr:nvPicPr>
      <xdr:blipFill>
        <a:blip r:embed="rId1"/>
        <a:stretch/>
      </xdr:blipFill>
      <xdr:spPr>
        <a:xfrm>
          <a:off x="519840" y="324000"/>
          <a:ext cx="359640" cy="361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1</xdr:row>
      <xdr:rowOff>152280</xdr:rowOff>
    </xdr:from>
    <xdr:to>
      <xdr:col>2</xdr:col>
      <xdr:colOff>352080</xdr:colOff>
      <xdr:row>4</xdr:row>
      <xdr:rowOff>47160</xdr:rowOff>
    </xdr:to>
    <xdr:pic>
      <xdr:nvPicPr>
        <xdr:cNvPr id="28" name="Picture 1" descr="sca%20logo"/>
        <xdr:cNvPicPr/>
      </xdr:nvPicPr>
      <xdr:blipFill>
        <a:blip r:embed="rId1"/>
        <a:stretch/>
      </xdr:blipFill>
      <xdr:spPr>
        <a:xfrm>
          <a:off x="510480" y="314280"/>
          <a:ext cx="352080" cy="3805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3</xdr:col>
      <xdr:colOff>19080</xdr:colOff>
      <xdr:row>1</xdr:row>
      <xdr:rowOff>142920</xdr:rowOff>
    </xdr:from>
    <xdr:to>
      <xdr:col>4</xdr:col>
      <xdr:colOff>85320</xdr:colOff>
      <xdr:row>3</xdr:row>
      <xdr:rowOff>142560</xdr:rowOff>
    </xdr:to>
    <xdr:pic>
      <xdr:nvPicPr>
        <xdr:cNvPr id="29" name="Picture 14" descr="sca%20logo"/>
        <xdr:cNvPicPr/>
      </xdr:nvPicPr>
      <xdr:blipFill>
        <a:blip r:embed="rId1"/>
        <a:stretch/>
      </xdr:blipFill>
      <xdr:spPr>
        <a:xfrm>
          <a:off x="925920" y="324000"/>
          <a:ext cx="374760" cy="361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3</xdr:col>
      <xdr:colOff>0</xdr:colOff>
      <xdr:row>1</xdr:row>
      <xdr:rowOff>142920</xdr:rowOff>
    </xdr:from>
    <xdr:to>
      <xdr:col>4</xdr:col>
      <xdr:colOff>66240</xdr:colOff>
      <xdr:row>3</xdr:row>
      <xdr:rowOff>142560</xdr:rowOff>
    </xdr:to>
    <xdr:pic>
      <xdr:nvPicPr>
        <xdr:cNvPr id="30" name="Picture 14" descr="sca%20logo"/>
        <xdr:cNvPicPr/>
      </xdr:nvPicPr>
      <xdr:blipFill>
        <a:blip r:embed="rId1"/>
        <a:stretch/>
      </xdr:blipFill>
      <xdr:spPr>
        <a:xfrm>
          <a:off x="906840" y="324000"/>
          <a:ext cx="374760" cy="361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19080</xdr:colOff>
      <xdr:row>1</xdr:row>
      <xdr:rowOff>162000</xdr:rowOff>
    </xdr:from>
    <xdr:to>
      <xdr:col>2</xdr:col>
      <xdr:colOff>371160</xdr:colOff>
      <xdr:row>3</xdr:row>
      <xdr:rowOff>180720</xdr:rowOff>
    </xdr:to>
    <xdr:pic>
      <xdr:nvPicPr>
        <xdr:cNvPr id="31" name="Picture 14" descr="sca%20logo"/>
        <xdr:cNvPicPr/>
      </xdr:nvPicPr>
      <xdr:blipFill>
        <a:blip r:embed="rId1"/>
        <a:stretch/>
      </xdr:blipFill>
      <xdr:spPr>
        <a:xfrm>
          <a:off x="529560" y="343080"/>
          <a:ext cx="352080" cy="3805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9360</xdr:colOff>
      <xdr:row>1</xdr:row>
      <xdr:rowOff>133200</xdr:rowOff>
    </xdr:from>
    <xdr:to>
      <xdr:col>2</xdr:col>
      <xdr:colOff>370800</xdr:colOff>
      <xdr:row>3</xdr:row>
      <xdr:rowOff>132840</xdr:rowOff>
    </xdr:to>
    <xdr:pic>
      <xdr:nvPicPr>
        <xdr:cNvPr id="32" name="Picture 14" descr="sca%20logo"/>
        <xdr:cNvPicPr/>
      </xdr:nvPicPr>
      <xdr:blipFill>
        <a:blip r:embed="rId1"/>
        <a:stretch/>
      </xdr:blipFill>
      <xdr:spPr>
        <a:xfrm>
          <a:off x="519840" y="314280"/>
          <a:ext cx="361440" cy="361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1</xdr:row>
      <xdr:rowOff>142920</xdr:rowOff>
    </xdr:from>
    <xdr:to>
      <xdr:col>2</xdr:col>
      <xdr:colOff>352080</xdr:colOff>
      <xdr:row>3</xdr:row>
      <xdr:rowOff>142560</xdr:rowOff>
    </xdr:to>
    <xdr:pic>
      <xdr:nvPicPr>
        <xdr:cNvPr id="33" name="Picture 14" descr="sca%20logo"/>
        <xdr:cNvPicPr/>
      </xdr:nvPicPr>
      <xdr:blipFill>
        <a:blip r:embed="rId1"/>
        <a:stretch/>
      </xdr:blipFill>
      <xdr:spPr>
        <a:xfrm>
          <a:off x="510480" y="324000"/>
          <a:ext cx="352080" cy="361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9360</xdr:colOff>
      <xdr:row>1</xdr:row>
      <xdr:rowOff>133200</xdr:rowOff>
    </xdr:from>
    <xdr:to>
      <xdr:col>2</xdr:col>
      <xdr:colOff>361440</xdr:colOff>
      <xdr:row>3</xdr:row>
      <xdr:rowOff>132840</xdr:rowOff>
    </xdr:to>
    <xdr:pic>
      <xdr:nvPicPr>
        <xdr:cNvPr id="34" name="Picture 14" descr="sca%20logo"/>
        <xdr:cNvPicPr/>
      </xdr:nvPicPr>
      <xdr:blipFill>
        <a:blip r:embed="rId1"/>
        <a:stretch/>
      </xdr:blipFill>
      <xdr:spPr>
        <a:xfrm>
          <a:off x="519840" y="314280"/>
          <a:ext cx="352080" cy="3614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2</xdr:col>
      <xdr:colOff>0</xdr:colOff>
      <xdr:row>1</xdr:row>
      <xdr:rowOff>142920</xdr:rowOff>
    </xdr:from>
    <xdr:to>
      <xdr:col>2</xdr:col>
      <xdr:colOff>352080</xdr:colOff>
      <xdr:row>3</xdr:row>
      <xdr:rowOff>142560</xdr:rowOff>
    </xdr:to>
    <xdr:pic>
      <xdr:nvPicPr>
        <xdr:cNvPr id="35" name="Picture 14" descr="sca%20logo"/>
        <xdr:cNvPicPr/>
      </xdr:nvPicPr>
      <xdr:blipFill>
        <a:blip r:embed="rId2"/>
        <a:stretch/>
      </xdr:blipFill>
      <xdr:spPr>
        <a:xfrm>
          <a:off x="510480" y="324000"/>
          <a:ext cx="352080" cy="361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9360</xdr:colOff>
      <xdr:row>1</xdr:row>
      <xdr:rowOff>142920</xdr:rowOff>
    </xdr:from>
    <xdr:to>
      <xdr:col>2</xdr:col>
      <xdr:colOff>361440</xdr:colOff>
      <xdr:row>3</xdr:row>
      <xdr:rowOff>142560</xdr:rowOff>
    </xdr:to>
    <xdr:pic>
      <xdr:nvPicPr>
        <xdr:cNvPr id="36" name="Picture 14" descr="sca%20logo"/>
        <xdr:cNvPicPr/>
      </xdr:nvPicPr>
      <xdr:blipFill>
        <a:blip r:embed="rId1"/>
        <a:stretch/>
      </xdr:blipFill>
      <xdr:spPr>
        <a:xfrm>
          <a:off x="519840" y="324000"/>
          <a:ext cx="352080" cy="3614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2</xdr:col>
      <xdr:colOff>9360</xdr:colOff>
      <xdr:row>1</xdr:row>
      <xdr:rowOff>133200</xdr:rowOff>
    </xdr:from>
    <xdr:to>
      <xdr:col>2</xdr:col>
      <xdr:colOff>361440</xdr:colOff>
      <xdr:row>3</xdr:row>
      <xdr:rowOff>132840</xdr:rowOff>
    </xdr:to>
    <xdr:pic>
      <xdr:nvPicPr>
        <xdr:cNvPr id="37" name="Picture 14" descr="sca%20logo"/>
        <xdr:cNvPicPr/>
      </xdr:nvPicPr>
      <xdr:blipFill>
        <a:blip r:embed="rId2"/>
        <a:stretch/>
      </xdr:blipFill>
      <xdr:spPr>
        <a:xfrm>
          <a:off x="519840" y="314280"/>
          <a:ext cx="352080" cy="3614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2</xdr:col>
      <xdr:colOff>0</xdr:colOff>
      <xdr:row>1</xdr:row>
      <xdr:rowOff>142920</xdr:rowOff>
    </xdr:from>
    <xdr:to>
      <xdr:col>2</xdr:col>
      <xdr:colOff>352080</xdr:colOff>
      <xdr:row>3</xdr:row>
      <xdr:rowOff>142560</xdr:rowOff>
    </xdr:to>
    <xdr:pic>
      <xdr:nvPicPr>
        <xdr:cNvPr id="38" name="Picture 14" descr="sca%20logo"/>
        <xdr:cNvPicPr/>
      </xdr:nvPicPr>
      <xdr:blipFill>
        <a:blip r:embed="rId3"/>
        <a:stretch/>
      </xdr:blipFill>
      <xdr:spPr>
        <a:xfrm>
          <a:off x="510480" y="324000"/>
          <a:ext cx="352080" cy="361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9360</xdr:colOff>
      <xdr:row>1</xdr:row>
      <xdr:rowOff>162000</xdr:rowOff>
    </xdr:from>
    <xdr:to>
      <xdr:col>2</xdr:col>
      <xdr:colOff>361440</xdr:colOff>
      <xdr:row>3</xdr:row>
      <xdr:rowOff>161640</xdr:rowOff>
    </xdr:to>
    <xdr:pic>
      <xdr:nvPicPr>
        <xdr:cNvPr id="39" name="Picture 14" descr="sca%20logo"/>
        <xdr:cNvPicPr/>
      </xdr:nvPicPr>
      <xdr:blipFill>
        <a:blip r:embed="rId1"/>
        <a:stretch/>
      </xdr:blipFill>
      <xdr:spPr>
        <a:xfrm>
          <a:off x="519840" y="343080"/>
          <a:ext cx="352080" cy="361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exchequer@sca.org;%20treasurer@sca.org;%20mazelle@sca.org?subject=Help%20my%20LARGE%20report%20is%20broken!&amp;body=Give%20as%20much%20information%20as%20possible,%20including%20Excel%20version." TargetMode="Externa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s2.xml"/><Relationship Id="rId5" Type="http://schemas.openxmlformats.org/officeDocument/2006/relationships/ctrlProp" Target="../ctrlProps/ctrlProps3.xml"/><Relationship Id="rId6" Type="http://schemas.openxmlformats.org/officeDocument/2006/relationships/ctrlProp" Target="../ctrlProps/ctrlProps4.xml"/><Relationship Id="rId7" Type="http://schemas.openxmlformats.org/officeDocument/2006/relationships/ctrlProp" Target="../ctrlProps/ctrlProps5.xml"/><Relationship Id="rId8" Type="http://schemas.openxmlformats.org/officeDocument/2006/relationships/ctrlProp" Target="../ctrlProps/ctrlProps6.xml"/><Relationship Id="rId9" Type="http://schemas.openxmlformats.org/officeDocument/2006/relationships/ctrlProp" Target="../ctrlProps/ctrlProps7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9.xml"/><Relationship Id="rId3" Type="http://schemas.openxmlformats.org/officeDocument/2006/relationships/vmlDrawing" Target="../drawings/vmlDrawing2.v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16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17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8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19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20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21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22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23.xml"/>
</Relationships>
</file>

<file path=xl/worksheets/_rels/sheet18.xml.rels><?xml version="1.0" encoding="UTF-8"?>
<Relationships xmlns="http://schemas.openxmlformats.org/package/2006/relationships"><Relationship Id="rId1" Type="http://schemas.openxmlformats.org/officeDocument/2006/relationships/drawing" Target="../drawings/drawing24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drawing" Target="../drawings/drawing25.xml"/>
</Relationships>
</file>

<file path=xl/worksheets/_rels/sheet20.xml.rels><?xml version="1.0" encoding="UTF-8"?>
<Relationships xmlns="http://schemas.openxmlformats.org/package/2006/relationships"><Relationship Id="rId1" Type="http://schemas.openxmlformats.org/officeDocument/2006/relationships/drawing" Target="../drawings/drawing26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drawing" Target="../drawings/drawing27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28.xml"/>
</Relationships>
</file>

<file path=xl/worksheets/_rels/sheet23.xml.rels><?xml version="1.0" encoding="UTF-8"?>
<Relationships xmlns="http://schemas.openxmlformats.org/package/2006/relationships"><Relationship Id="rId1" Type="http://schemas.openxmlformats.org/officeDocument/2006/relationships/drawing" Target="../drawings/drawing29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drawing" Target="../drawings/drawing30.xml"/>
</Relationships>
</file>

<file path=xl/worksheets/_rels/sheet25.xml.rels><?xml version="1.0" encoding="UTF-8"?>
<Relationships xmlns="http://schemas.openxmlformats.org/package/2006/relationships"><Relationship Id="rId1" Type="http://schemas.openxmlformats.org/officeDocument/2006/relationships/drawing" Target="../drawings/drawing31.xml"/>
</Relationships>
</file>

<file path=xl/worksheets/_rels/sheet26.xml.rels><?xml version="1.0" encoding="UTF-8"?>
<Relationships xmlns="http://schemas.openxmlformats.org/package/2006/relationships"><Relationship Id="rId1" Type="http://schemas.openxmlformats.org/officeDocument/2006/relationships/drawing" Target="../drawings/drawing32.xml"/>
</Relationships>
</file>

<file path=xl/worksheets/_rels/sheet27.xml.rels><?xml version="1.0" encoding="UTF-8"?>
<Relationships xmlns="http://schemas.openxmlformats.org/package/2006/relationships"><Relationship Id="rId1" Type="http://schemas.openxmlformats.org/officeDocument/2006/relationships/drawing" Target="../drawings/drawing33.xml"/>
</Relationships>
</file>

<file path=xl/worksheets/_rels/sheet28.xml.rels><?xml version="1.0" encoding="UTF-8"?>
<Relationships xmlns="http://schemas.openxmlformats.org/package/2006/relationships"><Relationship Id="rId1" Type="http://schemas.openxmlformats.org/officeDocument/2006/relationships/drawing" Target="../drawings/drawing34.xml"/>
</Relationships>
</file>

<file path=xl/worksheets/_rels/sheet29.xml.rels><?xml version="1.0" encoding="UTF-8"?>
<Relationships xmlns="http://schemas.openxmlformats.org/package/2006/relationships"><Relationship Id="rId1" Type="http://schemas.openxmlformats.org/officeDocument/2006/relationships/drawing" Target="../drawings/drawing35.xml"/>
</Relationships>
</file>

<file path=xl/worksheets/_rels/sheet30.xml.rels><?xml version="1.0" encoding="UTF-8"?>
<Relationships xmlns="http://schemas.openxmlformats.org/package/2006/relationships"><Relationship Id="rId1" Type="http://schemas.openxmlformats.org/officeDocument/2006/relationships/drawing" Target="../drawings/drawing36.xml"/>
</Relationships>
</file>

<file path=xl/worksheets/_rels/sheet31.xml.rels><?xml version="1.0" encoding="UTF-8"?>
<Relationships xmlns="http://schemas.openxmlformats.org/package/2006/relationships"><Relationship Id="rId1" Type="http://schemas.openxmlformats.org/officeDocument/2006/relationships/drawing" Target="../drawings/drawing37.xml"/>
</Relationships>
</file>

<file path=xl/worksheets/_rels/sheet32.xml.rels><?xml version="1.0" encoding="UTF-8"?>
<Relationships xmlns="http://schemas.openxmlformats.org/package/2006/relationships"><Relationship Id="rId1" Type="http://schemas.openxmlformats.org/officeDocument/2006/relationships/drawing" Target="../drawings/drawing38.xml"/>
</Relationships>
</file>

<file path=xl/worksheets/_rels/sheet33.xml.rels><?xml version="1.0" encoding="UTF-8"?>
<Relationships xmlns="http://schemas.openxmlformats.org/package/2006/relationships"><Relationship Id="rId1" Type="http://schemas.openxmlformats.org/officeDocument/2006/relationships/drawing" Target="../drawings/drawing39.xml"/>
</Relationships>
</file>

<file path=xl/worksheets/_rels/sheet34.xml.rels><?xml version="1.0" encoding="UTF-8"?>
<Relationships xmlns="http://schemas.openxmlformats.org/package/2006/relationships"><Relationship Id="rId1" Type="http://schemas.openxmlformats.org/officeDocument/2006/relationships/drawing" Target="../drawings/drawing40.xml"/>
</Relationships>
</file>

<file path=xl/worksheets/_rels/sheet35.xml.rels><?xml version="1.0" encoding="UTF-8"?>
<Relationships xmlns="http://schemas.openxmlformats.org/package/2006/relationships"><Relationship Id="rId1" Type="http://schemas.openxmlformats.org/officeDocument/2006/relationships/drawing" Target="../drawings/drawing41.xml"/>
</Relationships>
</file>

<file path=xl/worksheets/_rels/sheet36.xml.rels><?xml version="1.0" encoding="UTF-8"?>
<Relationships xmlns="http://schemas.openxmlformats.org/package/2006/relationships"><Relationship Id="rId1" Type="http://schemas.openxmlformats.org/officeDocument/2006/relationships/drawing" Target="../drawings/drawing4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2:N2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12" activeCellId="0" sqref="C12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1" min="1" style="1" width="3.62"/>
    <col collapsed="false" customWidth="true" hidden="false" outlineLevel="0" max="2" min="2" style="1" width="33.62"/>
    <col collapsed="false" customWidth="true" hidden="false" outlineLevel="0" max="3" min="3" style="1" width="52.13"/>
    <col collapsed="false" customWidth="true" hidden="false" outlineLevel="0" max="4" min="4" style="1" width="2.62"/>
    <col collapsed="false" customWidth="true" hidden="false" outlineLevel="0" max="5" min="5" style="1" width="32.62"/>
    <col collapsed="false" customWidth="true" hidden="false" outlineLevel="0" max="6" min="6" style="1" width="48.62"/>
    <col collapsed="false" customWidth="true" hidden="false" outlineLevel="0" max="7" min="7" style="1" width="22.62"/>
    <col collapsed="false" customWidth="true" hidden="true" outlineLevel="0" max="8" min="8" style="2" width="20.62"/>
    <col collapsed="false" customWidth="true" hidden="true" outlineLevel="0" max="9" min="9" style="1" width="9.75"/>
    <col collapsed="false" customWidth="true" hidden="true" outlineLevel="0" max="10" min="10" style="1" width="10.38"/>
    <col collapsed="false" customWidth="true" hidden="true" outlineLevel="0" max="12" min="11" style="1" width="9.38"/>
    <col collapsed="false" customWidth="false" hidden="true" outlineLevel="0" max="26" min="13" style="1" width="9.13"/>
    <col collapsed="false" customWidth="false" hidden="false" outlineLevel="0" max="16384" min="27" style="1" width="9.13"/>
  </cols>
  <sheetData>
    <row r="2" customFormat="false" ht="15" hidden="false" customHeight="true" outlineLevel="0" collapsed="false">
      <c r="B2" s="3" t="s">
        <v>0</v>
      </c>
      <c r="C2" s="3"/>
      <c r="D2" s="4"/>
      <c r="E2" s="5"/>
      <c r="F2" s="6"/>
      <c r="G2" s="6"/>
      <c r="I2" s="7"/>
      <c r="J2" s="7"/>
      <c r="K2" s="7"/>
      <c r="L2" s="7"/>
      <c r="M2" s="7"/>
    </row>
    <row r="3" customFormat="false" ht="15" hidden="false" customHeight="false" outlineLevel="0" collapsed="false">
      <c r="B3" s="3"/>
      <c r="C3" s="3"/>
      <c r="D3" s="4"/>
      <c r="E3" s="8" t="str">
        <f aca="false">"THE SOCIETY FOR CREATIVE ANACHRONISM"&amp;IF(OR(C15="Corporate",C15="Non-US"),"","-"&amp;UPPER(C15))&amp;", INC."</f>
        <v>THE SOCIETY FOR CREATIVE ANACHRONISM, INC.</v>
      </c>
      <c r="F3" s="8"/>
      <c r="G3" s="8"/>
      <c r="I3" s="7"/>
      <c r="J3" s="7"/>
      <c r="K3" s="7"/>
      <c r="L3" s="7"/>
      <c r="M3" s="7"/>
    </row>
    <row r="4" customFormat="false" ht="14.25" hidden="false" customHeight="false" outlineLevel="0" collapsed="false">
      <c r="B4" s="3"/>
      <c r="C4" s="3"/>
      <c r="D4" s="9"/>
      <c r="E4" s="8" t="s">
        <v>1</v>
      </c>
      <c r="F4" s="8"/>
      <c r="G4" s="8"/>
      <c r="I4" s="7"/>
      <c r="J4" s="7"/>
      <c r="K4" s="7"/>
      <c r="L4" s="7"/>
      <c r="M4" s="7"/>
    </row>
    <row r="5" customFormat="false" ht="14.25" hidden="false" customHeight="false" outlineLevel="0" collapsed="false">
      <c r="B5" s="3"/>
      <c r="C5" s="3"/>
      <c r="D5" s="9"/>
      <c r="E5" s="6"/>
      <c r="F5" s="6"/>
      <c r="G5" s="6"/>
      <c r="I5" s="7"/>
      <c r="J5" s="7"/>
      <c r="K5" s="7"/>
      <c r="L5" s="7"/>
      <c r="M5" s="7"/>
    </row>
    <row r="6" customFormat="false" ht="15" hidden="false" customHeight="true" outlineLevel="0" collapsed="false">
      <c r="B6" s="10" t="s">
        <v>2</v>
      </c>
      <c r="C6" s="10"/>
      <c r="D6" s="9"/>
      <c r="E6" s="11" t="str">
        <f aca="false">Contents!B58</f>
        <v>Branch:   SCA, Inc.- Middle Kingdom                                               Period:  1/01/2025             to     12/31/2025            .</v>
      </c>
      <c r="F6" s="11"/>
      <c r="G6" s="11"/>
      <c r="I6" s="7"/>
      <c r="J6" s="7"/>
      <c r="K6" s="7"/>
      <c r="L6" s="7"/>
      <c r="M6" s="7"/>
    </row>
    <row r="7" customFormat="false" ht="15" hidden="false" customHeight="false" outlineLevel="0" collapsed="false">
      <c r="B7" s="12" t="s">
        <v>3</v>
      </c>
      <c r="C7" s="12"/>
      <c r="D7" s="9"/>
      <c r="E7" s="13" t="s">
        <v>4</v>
      </c>
      <c r="F7" s="14" t="s">
        <v>5</v>
      </c>
      <c r="G7" s="14" t="s">
        <v>6</v>
      </c>
      <c r="H7" s="2" t="str">
        <f aca="false">$G7</f>
        <v>REQUIRED</v>
      </c>
      <c r="I7" s="7"/>
      <c r="J7" s="7"/>
      <c r="K7" s="7"/>
      <c r="L7" s="7"/>
      <c r="M7" s="7"/>
    </row>
    <row r="8" customFormat="false" ht="14.25" hidden="false" customHeight="false" outlineLevel="0" collapsed="false">
      <c r="B8" s="15" t="s">
        <v>7</v>
      </c>
      <c r="C8" s="16" t="s">
        <v>8</v>
      </c>
      <c r="D8" s="9"/>
      <c r="E8" s="13" t="s">
        <v>9</v>
      </c>
      <c r="F8" s="14" t="str">
        <f aca="false">"Contact Information "&amp;IF(ISBLANK(DATEVALUE($C$64))," ",IF($F$81,"- EXPIRED Signatory",IF($G$81,"- Expiring Signatory"," ")))</f>
        <v>Contact Information  </v>
      </c>
      <c r="G8" s="14" t="s">
        <v>6</v>
      </c>
      <c r="H8" s="2" t="str">
        <f aca="false">$G8</f>
        <v>REQUIRED</v>
      </c>
      <c r="I8" s="7"/>
      <c r="J8" s="7"/>
      <c r="K8" s="7"/>
      <c r="L8" s="7"/>
      <c r="M8" s="7"/>
    </row>
    <row r="9" customFormat="false" ht="14.25" hidden="false" customHeight="false" outlineLevel="0" collapsed="false">
      <c r="B9" s="17" t="s">
        <v>10</v>
      </c>
      <c r="C9" s="18" t="s">
        <v>11</v>
      </c>
      <c r="D9" s="9"/>
      <c r="E9" s="13" t="s">
        <v>12</v>
      </c>
      <c r="F9" s="14" t="str">
        <f aca="false">"Primary Account Reconciliation "&amp;IF(ISBLANK(DATEVALUE($C$64))," ",IF($F$82,"- EXPIRED Signatory",IF($G$82,"- Expiring Signatory"," ")))</f>
        <v>Primary Account Reconciliation  </v>
      </c>
      <c r="G9" s="14" t="s">
        <v>6</v>
      </c>
      <c r="H9" s="2" t="str">
        <f aca="false">$G9</f>
        <v>REQUIRED</v>
      </c>
      <c r="I9" s="7"/>
      <c r="J9" s="7"/>
      <c r="K9" s="7"/>
      <c r="L9" s="7"/>
      <c r="M9" s="7"/>
    </row>
    <row r="10" customFormat="false" ht="14.25" hidden="false" customHeight="false" outlineLevel="0" collapsed="false">
      <c r="B10" s="17" t="s">
        <v>13</v>
      </c>
      <c r="C10" s="18" t="s">
        <v>14</v>
      </c>
      <c r="D10" s="9"/>
      <c r="E10" s="13" t="s">
        <v>15</v>
      </c>
      <c r="F10" s="14" t="str">
        <f aca="false">"Secondary Account Reconciliation "&amp;IF(ISBLANK(DATEVALUE($C$64))," ",IF($F$83,"- EXPIRED Signatory",IF($G$83,"- Expiring Signatory"," ")))</f>
        <v>Secondary Account Reconciliation - EXPIRED Signatory</v>
      </c>
      <c r="G10" s="14" t="str">
        <f aca="false">IF($C$11=0,"REQUIRED IF DATA",IF(SECONDARY_ACCOUNTS_2b!$D$19 = 0, "No Data","REQUIRED"))</f>
        <v>REQUIRED</v>
      </c>
      <c r="H10" s="2" t="str">
        <f aca="false">$G10</f>
        <v>REQUIRED</v>
      </c>
      <c r="I10" s="7"/>
      <c r="J10" s="7"/>
      <c r="K10" s="7"/>
      <c r="L10" s="7"/>
      <c r="M10" s="7"/>
    </row>
    <row r="11" customFormat="false" ht="14.25" hidden="false" customHeight="false" outlineLevel="0" collapsed="false">
      <c r="B11" s="17" t="s">
        <v>16</v>
      </c>
      <c r="C11" s="18" t="n">
        <v>2025</v>
      </c>
      <c r="D11" s="19"/>
      <c r="E11" s="13" t="s">
        <v>17</v>
      </c>
      <c r="F11" s="14" t="str">
        <f aca="false">"Comparative Balance Statement"&amp;IF(AND(BALANCE_3!$G$37=0,BALANCE_3!$H$37=0)," ",IF(AND(OR(BALANCE_3!$G$37&lt;&gt;0,BALANCE_3!$H$37&lt;&gt;0),ROUND(BALANCE_3!$G$38,2)=ROUND(BALANCE_3!$G$39,2))," - Balanced!"," - OUT OF BALANCE"))</f>
        <v>Comparative Balance Statement - Balanced!</v>
      </c>
      <c r="G11" s="14" t="s">
        <v>6</v>
      </c>
      <c r="H11" s="2" t="str">
        <f aca="false">$G11</f>
        <v>REQUIRED</v>
      </c>
      <c r="I11" s="7"/>
      <c r="J11" s="7"/>
      <c r="K11" s="7"/>
      <c r="L11" s="7"/>
      <c r="M11" s="7"/>
    </row>
    <row r="12" customFormat="false" ht="14.25" hidden="false" customHeight="false" outlineLevel="0" collapsed="false">
      <c r="B12" s="20" t="s">
        <v>18</v>
      </c>
      <c r="C12" s="18" t="n">
        <v>4</v>
      </c>
      <c r="D12" s="19"/>
      <c r="E12" s="13" t="s">
        <v>19</v>
      </c>
      <c r="F12" s="14" t="s">
        <v>20</v>
      </c>
      <c r="G12" s="14" t="s">
        <v>6</v>
      </c>
      <c r="H12" s="2" t="str">
        <f aca="false">$G12</f>
        <v>REQUIRED</v>
      </c>
      <c r="I12" s="7"/>
      <c r="J12" s="7"/>
      <c r="K12" s="7"/>
      <c r="L12" s="7"/>
      <c r="M12" s="7"/>
    </row>
    <row r="13" customFormat="false" ht="14.25" hidden="false" customHeight="false" outlineLevel="0" collapsed="false">
      <c r="B13" s="20" t="s">
        <v>21</v>
      </c>
      <c r="C13" s="21" t="s">
        <v>22</v>
      </c>
      <c r="D13" s="9"/>
      <c r="E13" s="13" t="s">
        <v>23</v>
      </c>
      <c r="F13" s="14" t="s">
        <v>24</v>
      </c>
      <c r="G13" s="14" t="str">
        <f aca="false">IF($C$11=0,"REQUIRED IF DATA",IF(ASSET_DTL_5a!$G$19 + ASSET_DTL_5a!$F$35 + ASSET_DTL_5a!$G$35+ ASSET_DTL_5a!$F$46 + ASSET_DTL_5a!$G$46+ ASSET_DTL_5a!$F$56 + ASSET_DTL_5a!$G$56 = 0, "No Data", "REQUIRED"))</f>
        <v>REQUIRED</v>
      </c>
      <c r="H13" s="2" t="str">
        <f aca="false">$G13</f>
        <v>REQUIRED</v>
      </c>
      <c r="I13" s="7"/>
      <c r="J13" s="7"/>
      <c r="K13" s="7"/>
      <c r="L13" s="7"/>
      <c r="M13" s="7"/>
    </row>
    <row r="14" customFormat="false" ht="14.25" hidden="false" customHeight="false" outlineLevel="0" collapsed="false">
      <c r="B14" s="20" t="s">
        <v>25</v>
      </c>
      <c r="C14" s="22" t="s">
        <v>26</v>
      </c>
      <c r="D14" s="9"/>
      <c r="E14" s="13" t="s">
        <v>27</v>
      </c>
      <c r="F14" s="14" t="s">
        <v>28</v>
      </c>
      <c r="G14" s="14" t="str">
        <f aca="false">IF($C$11=0,"REQUIRED IF DATA",IF(LIABILITY_DTL_5b!$F$31 + LIABILITY_DTL_5b!$E$31 + LIABILITY_DTL_5b!$F$44 + LIABILITY_DTL_5b!$E$44 + LIABILITY_DTL_5b!$F$56 + LIABILITY_DTL_5b!$E$56 = 0, "No Data", "REQUIRED"))</f>
        <v>No Data</v>
      </c>
      <c r="H14" s="2" t="str">
        <f aca="false">$G14</f>
        <v>No Data</v>
      </c>
      <c r="I14" s="7"/>
      <c r="J14" s="7"/>
      <c r="K14" s="7"/>
      <c r="L14" s="7"/>
      <c r="M14" s="7"/>
    </row>
    <row r="15" customFormat="false" ht="14.25" hidden="false" customHeight="false" outlineLevel="0" collapsed="false">
      <c r="B15" s="23" t="s">
        <v>29</v>
      </c>
      <c r="C15" s="24" t="s">
        <v>30</v>
      </c>
      <c r="D15" s="19"/>
      <c r="E15" s="13" t="s">
        <v>31</v>
      </c>
      <c r="F15" s="14" t="s">
        <v>32</v>
      </c>
      <c r="G15" s="14" t="str">
        <f aca="false">IF($C$11=0,"REQUIRED IF DATA",IF(INVENTORY_DTL_6!$M$17 + INVENTORY_DTL_6!$M$27 + INVENTORY_DTL_6!$M$29 + INVENTORY_DTL_6!$M$30 = 0, "No Data","REQUIRED"))</f>
        <v>No Data</v>
      </c>
      <c r="H15" s="2" t="str">
        <f aca="false">$G15</f>
        <v>No Data</v>
      </c>
      <c r="I15" s="7"/>
      <c r="J15" s="7"/>
      <c r="K15" s="7"/>
      <c r="L15" s="7"/>
      <c r="M15" s="7"/>
    </row>
    <row r="16" customFormat="false" ht="14.25" hidden="false" customHeight="false" outlineLevel="0" collapsed="false">
      <c r="B16" s="25" t="s">
        <v>33</v>
      </c>
      <c r="C16" s="25"/>
      <c r="D16" s="9"/>
      <c r="E16" s="13" t="s">
        <v>34</v>
      </c>
      <c r="F16" s="14" t="s">
        <v>35</v>
      </c>
      <c r="G16" s="14" t="str">
        <f aca="false">IF($C$11=0,"REQUIRED IF DATA",IF(REGALIA_SALES_DTL_7!$F$32 + REGALIA_SALES_DTL_7!$H$32 + REGALIA_SALES_DTL_7!$I$32 + REGALIA_SALES_DTL_7!$H$52 + REGALIA_SALES_DTL_7!$I$53 = 0,"No Data","REQUIRED"))</f>
        <v>No Data</v>
      </c>
      <c r="H16" s="2" t="str">
        <f aca="false">$G16</f>
        <v>No Data</v>
      </c>
      <c r="I16" s="7"/>
      <c r="J16" s="7"/>
      <c r="K16" s="7"/>
      <c r="L16" s="7"/>
      <c r="M16" s="7"/>
    </row>
    <row r="17" customFormat="false" ht="15" hidden="false" customHeight="false" outlineLevel="0" collapsed="false">
      <c r="B17" s="25"/>
      <c r="C17" s="25"/>
      <c r="D17" s="4"/>
      <c r="E17" s="13" t="s">
        <v>36</v>
      </c>
      <c r="F17" s="14" t="s">
        <v>37</v>
      </c>
      <c r="G17" s="14" t="str">
        <f aca="false">IF($C$11=0,"REQUIRED IF DATA",IF(DEPR_DTL_8!$I$47 + DEPR_DTL_8!$J$47 + DEPR_DTL_8!$K$47 + DEPR_DTL_8!$L$47 + DEPR_DTL_8!$M$47 = 0, "No Data","REQUIRED"))</f>
        <v>REQUIRED</v>
      </c>
      <c r="H17" s="2" t="str">
        <f aca="false">$G17</f>
        <v>REQUIRED</v>
      </c>
      <c r="I17" s="7"/>
      <c r="J17" s="7"/>
      <c r="K17" s="7"/>
      <c r="L17" s="7"/>
      <c r="M17" s="7"/>
    </row>
    <row r="18" customFormat="false" ht="14.25" hidden="false" customHeight="false" outlineLevel="0" collapsed="false">
      <c r="B18" s="19"/>
      <c r="C18" s="19"/>
      <c r="D18" s="9"/>
      <c r="E18" s="13" t="s">
        <v>38</v>
      </c>
      <c r="F18" s="14" t="s">
        <v>39</v>
      </c>
      <c r="G18" s="14" t="str">
        <f aca="false">IF($C$11=0,"REQUIRED IF DATA",IF(TRANSFER_IN_9!$F$38 + TRANSFER_IN_9!$F$58 = 0,"No Data","REQUIRED"))</f>
        <v>REQUIRED</v>
      </c>
      <c r="H18" s="2" t="str">
        <f aca="false">$G18</f>
        <v>REQUIRED</v>
      </c>
      <c r="I18" s="7"/>
      <c r="J18" s="7"/>
      <c r="K18" s="7"/>
      <c r="L18" s="7"/>
      <c r="M18" s="7"/>
    </row>
    <row r="19" customFormat="false" ht="14.25" hidden="false" customHeight="true" outlineLevel="0" collapsed="false">
      <c r="B19" s="26" t="s">
        <v>40</v>
      </c>
      <c r="C19" s="26"/>
      <c r="D19" s="9"/>
      <c r="E19" s="13" t="s">
        <v>41</v>
      </c>
      <c r="F19" s="14" t="s">
        <v>42</v>
      </c>
      <c r="G19" s="14" t="str">
        <f aca="false">IF($C$11=0,"REQUIRED IF DATA",IF(TRANSFER_OUT_10!$F$25 + TRANSFER_OUT_10!$F$52 = 0,"No Data","REQUIRED"))</f>
        <v>REQUIRED</v>
      </c>
      <c r="H19" s="2" t="str">
        <f aca="false">$G19</f>
        <v>REQUIRED</v>
      </c>
      <c r="I19" s="7"/>
      <c r="J19" s="7"/>
      <c r="K19" s="7"/>
      <c r="L19" s="7"/>
      <c r="M19" s="7"/>
    </row>
    <row r="20" customFormat="false" ht="14.25" hidden="false" customHeight="false" outlineLevel="0" collapsed="false">
      <c r="B20" s="26"/>
      <c r="C20" s="26"/>
      <c r="D20" s="9"/>
      <c r="E20" s="13" t="s">
        <v>43</v>
      </c>
      <c r="F20" s="14" t="s">
        <v>44</v>
      </c>
      <c r="G20" s="14" t="str">
        <f aca="false">IF($C$11=0,"REQUIRED IF DATA",IF(INCOME_DTL_11a!$E$20 + INCOME_DTL_11a!$E$30 + INCOME_DTL_11a!$E$36 + INCOME_DTL_11a!$E$52 = 0,"No Data","REQUIRED"))</f>
        <v>REQUIRED</v>
      </c>
      <c r="H20" s="2" t="str">
        <f aca="false">$G20</f>
        <v>REQUIRED</v>
      </c>
      <c r="I20" s="7"/>
      <c r="J20" s="7"/>
      <c r="K20" s="7"/>
      <c r="L20" s="7"/>
      <c r="M20" s="7"/>
    </row>
    <row r="21" customFormat="false" ht="14.25" hidden="false" customHeight="true" outlineLevel="0" collapsed="false">
      <c r="B21" s="27" t="s">
        <v>45</v>
      </c>
      <c r="C21" s="27"/>
      <c r="D21" s="9"/>
      <c r="E21" s="13" t="s">
        <v>46</v>
      </c>
      <c r="F21" s="14" t="s">
        <v>47</v>
      </c>
      <c r="G21" s="14" t="str">
        <f aca="false">IF($C$11=0,"REQUIRED IF DATA",IF(INCOME_DTL_11b!$G$37 + INCOME_DTL_11b!$G$43 + INCOME_DTL_11b!$G$56 = 0,"No Data","REQUIRED"))</f>
        <v>No Data</v>
      </c>
      <c r="H21" s="2" t="str">
        <f aca="false">$G21</f>
        <v>No Data</v>
      </c>
      <c r="I21" s="7"/>
      <c r="J21" s="7"/>
      <c r="K21" s="7"/>
      <c r="L21" s="7"/>
      <c r="M21" s="7"/>
    </row>
    <row r="22" customFormat="false" ht="14.25" hidden="false" customHeight="true" outlineLevel="0" collapsed="false">
      <c r="B22" s="28" t="s">
        <v>48</v>
      </c>
      <c r="C22" s="28"/>
      <c r="D22" s="9"/>
      <c r="E22" s="13" t="s">
        <v>49</v>
      </c>
      <c r="F22" s="14" t="s">
        <v>50</v>
      </c>
      <c r="G22" s="14" t="str">
        <f aca="false">IF($C$11=0,"REQUIRED IF DATA",IF(INCOME_DTL_11c!$G$24 + INCOME_DTL_11c!$G$66 = 0,"No Data","REQUIRED"))</f>
        <v>REQUIRED</v>
      </c>
      <c r="H22" s="2" t="str">
        <f aca="false">$G22</f>
        <v>REQUIRED</v>
      </c>
      <c r="I22" s="7"/>
      <c r="J22" s="7"/>
      <c r="K22" s="7"/>
      <c r="L22" s="7"/>
      <c r="M22" s="7"/>
    </row>
    <row r="23" customFormat="false" ht="14.25" hidden="false" customHeight="true" outlineLevel="0" collapsed="false">
      <c r="B23" s="27" t="s">
        <v>51</v>
      </c>
      <c r="C23" s="27"/>
      <c r="D23" s="9"/>
      <c r="E23" s="13" t="s">
        <v>52</v>
      </c>
      <c r="F23" s="14" t="s">
        <v>53</v>
      </c>
      <c r="G23" s="14" t="str">
        <f aca="false">IF($C$11=0,"REQUIRED IF DATA",IF(EXPENSE_DTL_12a!$F$23 + EXPENSE_DTL_12a!$F$39 + EXPENSE_DTL_12a!$F$55  = 0,"No Data","REQUIRED"))</f>
        <v>REQUIRED</v>
      </c>
      <c r="H23" s="2" t="str">
        <f aca="false">$G23</f>
        <v>REQUIRED</v>
      </c>
      <c r="I23" s="7"/>
      <c r="J23" s="7"/>
      <c r="K23" s="7"/>
      <c r="L23" s="7"/>
      <c r="M23" s="7"/>
    </row>
    <row r="24" customFormat="false" ht="14.25" hidden="false" customHeight="true" outlineLevel="0" collapsed="false">
      <c r="B24" s="27" t="s">
        <v>54</v>
      </c>
      <c r="C24" s="27"/>
      <c r="D24" s="19"/>
      <c r="E24" s="13" t="s">
        <v>55</v>
      </c>
      <c r="F24" s="14" t="s">
        <v>56</v>
      </c>
      <c r="G24" s="14" t="str">
        <f aca="false">IF($C$11=0,"REQUIRED IF DATA",IF(EXPENSE_DTL_12b!$I$16 + EXPENSE_DTL_12b!$I$27 + EXPENSE_DTL_12b!$I$56 = 0,"No Data","REQUIRED"))</f>
        <v>REQUIRED</v>
      </c>
      <c r="H24" s="2" t="str">
        <f aca="false">$G24</f>
        <v>REQUIRED</v>
      </c>
      <c r="I24" s="7"/>
      <c r="J24" s="7"/>
      <c r="K24" s="7"/>
      <c r="L24" s="7"/>
      <c r="M24" s="7"/>
    </row>
    <row r="25" customFormat="false" ht="14.25" hidden="false" customHeight="false" outlineLevel="0" collapsed="false">
      <c r="B25" s="29" t="s">
        <v>57</v>
      </c>
      <c r="C25" s="29"/>
      <c r="D25" s="9"/>
      <c r="E25" s="13" t="s">
        <v>58</v>
      </c>
      <c r="F25" s="14" t="str">
        <f aca="false">"Financial Committee Information "&amp;IF(ISBLANK(DATEVALUE($C$64))," ",IF($F$84,"- EXPIRED Member",IF($G$84,"- Expiring Member"," ")))</f>
        <v>Financial Committee Information - EXPIRED Member</v>
      </c>
      <c r="G25" s="14" t="str">
        <f aca="false">IF($C$11=0,"REQUIRED IF DATA",IF(AND(COUNTA(FINANCE_COMM_13!$D$21:$D$27)=0, COUNTA(FINANCE_COMM_13!$C$11:$C$13)=0),"No Data","REQUIRED"))</f>
        <v>REQUIRED</v>
      </c>
      <c r="H25" s="2" t="str">
        <f aca="false">$G25</f>
        <v>REQUIRED</v>
      </c>
      <c r="I25" s="7"/>
      <c r="J25" s="7"/>
      <c r="K25" s="7"/>
      <c r="L25" s="7"/>
      <c r="M25" s="7"/>
    </row>
    <row r="26" customFormat="false" ht="14.25" hidden="false" customHeight="true" outlineLevel="0" collapsed="false">
      <c r="B26" s="30" t="s">
        <v>59</v>
      </c>
      <c r="C26" s="30"/>
      <c r="D26" s="31"/>
      <c r="E26" s="13" t="s">
        <v>60</v>
      </c>
      <c r="F26" s="14" t="str">
        <f aca="false">"Dedicated Fund List"&amp;
IF(AND(BALANCE_3!$G$19=0,BALANCE_3!$H$19=0,BALANCE_3!$G$20=0,BALANCE_3!$H$20=0,FUNDS_14!$F$14=0)," ",
IF(AND(OR(FUNDS_14!$F$11&lt;&gt;0,FUNDS_14!$F$56&lt;&gt;0),FUNDS_14!$F$11=FUNDS_14!$F$56),"- Balanced!",
IF(AND(OR(BALANCE_3!$G$19&lt;&gt;0,BALANCE_3!$G$20&lt;&gt;0),FUNDS_14!$F$14=0,FUNDS_14!$F$56=0)," - Balanced!"," - OUT OF BALANCE")))</f>
        <v>Dedicated Fund List- Balanced!</v>
      </c>
      <c r="G26" s="14" t="str">
        <f aca="false">IF($C$11=0,"REQUIRED IF DATA",IF(FUNDS_14!$F$14 = 0,"No Data","REQUIRED"))</f>
        <v>REQUIRED</v>
      </c>
      <c r="H26" s="2" t="str">
        <f aca="false">$G26</f>
        <v>REQUIRED</v>
      </c>
      <c r="I26" s="7"/>
      <c r="J26" s="7"/>
      <c r="K26" s="7"/>
      <c r="L26" s="7"/>
      <c r="M26" s="7"/>
    </row>
    <row r="27" customFormat="false" ht="14.25" hidden="false" customHeight="true" outlineLevel="0" collapsed="false">
      <c r="B27" s="25"/>
      <c r="C27" s="25"/>
      <c r="D27" s="9"/>
      <c r="E27" s="13" t="s">
        <v>61</v>
      </c>
      <c r="F27" s="14" t="s">
        <v>62</v>
      </c>
      <c r="G27" s="14" t="str">
        <f aca="false">IF($C$11=0,"REQUIRED IF DATA",IF(SUM(NEWSLETTER_15!$E$27:$E$50) = 0,"No Subscription Data","REQUIRED"))</f>
        <v>No Subscription Data</v>
      </c>
      <c r="H27" s="2" t="str">
        <f aca="false">$G27</f>
        <v>No Subscription Data</v>
      </c>
      <c r="I27" s="7"/>
      <c r="J27" s="7"/>
      <c r="K27" s="7"/>
      <c r="L27" s="7"/>
      <c r="M27" s="7"/>
    </row>
    <row r="28" customFormat="false" ht="14.25" hidden="false" customHeight="true" outlineLevel="0" collapsed="false">
      <c r="B28" s="32" t="s">
        <v>63</v>
      </c>
      <c r="C28" s="9"/>
      <c r="D28" s="9"/>
      <c r="E28" s="13" t="s">
        <v>64</v>
      </c>
      <c r="F28" s="14" t="s">
        <v>65</v>
      </c>
      <c r="G28" s="14" t="str">
        <f aca="false">IF($C$11=0,"REQUIRED IF DATA",IF(COUNTA(COMMENTS!$C$8:$C$20)=0,"No Data","REQUIRED"))</f>
        <v>No Data</v>
      </c>
      <c r="H28" s="2" t="str">
        <f aca="false">$G28</f>
        <v>No Data</v>
      </c>
      <c r="I28" s="7"/>
      <c r="J28" s="7"/>
      <c r="K28" s="7"/>
      <c r="L28" s="7"/>
      <c r="M28" s="7"/>
    </row>
    <row r="29" customFormat="false" ht="14.25" hidden="false" customHeight="true" outlineLevel="0" collapsed="false">
      <c r="B29" s="31"/>
      <c r="C29" s="31"/>
      <c r="D29" s="9"/>
      <c r="E29" s="33" t="s">
        <v>66</v>
      </c>
      <c r="F29" s="33"/>
      <c r="G29" s="33"/>
      <c r="H29" s="2" t="s">
        <v>67</v>
      </c>
      <c r="I29" s="7"/>
      <c r="J29" s="7"/>
      <c r="K29" s="7"/>
      <c r="L29" s="7"/>
      <c r="M29" s="7"/>
    </row>
    <row r="30" customFormat="false" ht="19.5" hidden="false" customHeight="true" outlineLevel="0" collapsed="false">
      <c r="B30" s="34"/>
      <c r="C30" s="35"/>
      <c r="D30" s="9"/>
      <c r="E30" s="13" t="s">
        <v>68</v>
      </c>
      <c r="F30" s="14" t="str">
        <f aca="false">"Secondary Account Reconciliation "&amp;IF(ISBLANK(DATEVALUE($C$64))," ",IF($F$85,"- EXPIRED Signatory",IF($G$85,"- Expiring Signatory"," ")))</f>
        <v>Secondary Account Reconciliation  </v>
      </c>
      <c r="G30" s="14" t="str">
        <f aca="false">IF($C$11=0,"REQUIRED IF DATA",IF(SECONDARY_ACCOUNTS_2c!$D$19 = 0, "No Data","REQUIRED"))</f>
        <v>No Data</v>
      </c>
      <c r="H30" s="19" t="str">
        <f aca="false">$G30</f>
        <v>No Data</v>
      </c>
      <c r="I30" s="7"/>
      <c r="J30" s="7"/>
      <c r="K30" s="7"/>
      <c r="L30" s="7"/>
      <c r="M30" s="7"/>
    </row>
    <row r="31" customFormat="false" ht="19.5" hidden="false" customHeight="true" outlineLevel="0" collapsed="false">
      <c r="B31" s="36"/>
      <c r="C31" s="37"/>
      <c r="D31" s="9"/>
      <c r="E31" s="13" t="s">
        <v>69</v>
      </c>
      <c r="F31" s="14" t="str">
        <f aca="false">"Secondary Account Reconciliation "&amp;IF(ISBLANK(DATEVALUE($C$64))," ",IF($F$86,"- EXPIRED Signatory",IF($G$86,"- Expiring Signatory"," ")))</f>
        <v>Secondary Account Reconciliation  </v>
      </c>
      <c r="G31" s="14" t="str">
        <f aca="false">IF($C$11=0,"REQUIRED IF DATA",IF(SECONDARY_ACCOUNTS_2d!$D$19 = 0, "No Data","REQUIRED"))</f>
        <v>No Data</v>
      </c>
      <c r="H31" s="19" t="str">
        <f aca="false">$G31</f>
        <v>No Data</v>
      </c>
      <c r="I31" s="7"/>
      <c r="J31" s="7"/>
      <c r="K31" s="7"/>
      <c r="L31" s="7"/>
      <c r="M31" s="7"/>
    </row>
    <row r="32" customFormat="false" ht="19.5" hidden="false" customHeight="true" outlineLevel="0" collapsed="false">
      <c r="B32" s="38"/>
      <c r="C32" s="39"/>
      <c r="D32" s="9"/>
      <c r="E32" s="13" t="s">
        <v>70</v>
      </c>
      <c r="F32" s="14" t="s">
        <v>24</v>
      </c>
      <c r="G32" s="14" t="str">
        <f aca="false">IF($C$11=0,"REQUIRED IF DATA",IF(ASSET_DTL_5c!$F$33 + ASSET_DTL_5c!$G$33  + ASSET_DTL_5c!$F$44+ ASSET_DTL_5c!$G$44 + ASSET_DTL_5c!$F$58 + ASSET_DTL_5c!$G$58  = 0, "No Data", "REQUIRED"))</f>
        <v>No Data</v>
      </c>
      <c r="H32" s="19" t="str">
        <f aca="false">$G32</f>
        <v>No Data</v>
      </c>
      <c r="I32" s="7"/>
      <c r="J32" s="7"/>
      <c r="K32" s="7"/>
      <c r="L32" s="7"/>
      <c r="M32" s="7"/>
    </row>
    <row r="33" customFormat="false" ht="19.5" hidden="false" customHeight="true" outlineLevel="0" collapsed="false">
      <c r="B33" s="40" t="s">
        <v>71</v>
      </c>
      <c r="C33" s="40"/>
      <c r="D33" s="9"/>
      <c r="E33" s="13"/>
      <c r="F33" s="14"/>
      <c r="G33" s="14"/>
      <c r="H33" s="19"/>
      <c r="I33" s="7"/>
      <c r="J33" s="7"/>
      <c r="K33" s="7"/>
      <c r="L33" s="7"/>
      <c r="M33" s="7"/>
    </row>
    <row r="34" customFormat="false" ht="14.25" hidden="false" customHeight="false" outlineLevel="0" collapsed="false">
      <c r="B34" s="41" t="s">
        <v>72</v>
      </c>
      <c r="C34" s="41"/>
      <c r="D34" s="9"/>
      <c r="E34" s="13"/>
      <c r="F34" s="14"/>
      <c r="G34" s="14"/>
      <c r="H34" s="19"/>
      <c r="I34" s="7"/>
      <c r="J34" s="7"/>
      <c r="K34" s="7"/>
      <c r="L34" s="7"/>
      <c r="M34" s="7"/>
    </row>
    <row r="35" customFormat="false" ht="14.25" hidden="false" customHeight="false" outlineLevel="0" collapsed="false">
      <c r="B35" s="9"/>
      <c r="C35" s="9"/>
      <c r="D35" s="9"/>
      <c r="E35" s="13"/>
      <c r="F35" s="14"/>
      <c r="G35" s="14"/>
      <c r="H35" s="19"/>
      <c r="I35" s="7"/>
      <c r="J35" s="7"/>
      <c r="K35" s="7"/>
      <c r="L35" s="7"/>
      <c r="M35" s="7"/>
    </row>
    <row r="36" customFormat="false" ht="14.25" hidden="false" customHeight="false" outlineLevel="0" collapsed="false">
      <c r="B36" s="42" t="s">
        <v>73</v>
      </c>
      <c r="C36" s="42"/>
      <c r="D36" s="9"/>
      <c r="E36" s="13"/>
      <c r="F36" s="14"/>
      <c r="G36" s="14"/>
      <c r="H36" s="19"/>
      <c r="I36" s="7"/>
      <c r="J36" s="7"/>
      <c r="K36" s="7"/>
      <c r="L36" s="7"/>
      <c r="M36" s="7"/>
    </row>
    <row r="37" customFormat="false" ht="14.25" hidden="false" customHeight="false" outlineLevel="0" collapsed="false">
      <c r="B37" s="43"/>
      <c r="C37" s="9"/>
      <c r="D37" s="9"/>
      <c r="E37" s="13"/>
      <c r="F37" s="14"/>
      <c r="G37" s="14"/>
      <c r="H37" s="19"/>
      <c r="I37" s="7"/>
      <c r="J37" s="7"/>
      <c r="K37" s="7"/>
      <c r="L37" s="7"/>
      <c r="M37" s="7"/>
    </row>
    <row r="38" customFormat="false" ht="14.25" hidden="false" customHeight="false" outlineLevel="0" collapsed="false">
      <c r="B38" s="43" t="s">
        <v>74</v>
      </c>
      <c r="C38" s="9"/>
      <c r="D38" s="9"/>
      <c r="E38" s="13"/>
      <c r="F38" s="14"/>
      <c r="G38" s="14"/>
      <c r="H38" s="19"/>
      <c r="I38" s="7"/>
      <c r="J38" s="7"/>
      <c r="K38" s="7"/>
      <c r="L38" s="7"/>
      <c r="M38" s="7"/>
    </row>
    <row r="39" customFormat="false" ht="14.25" hidden="false" customHeight="false" outlineLevel="0" collapsed="false">
      <c r="B39" s="43" t="s">
        <v>75</v>
      </c>
      <c r="C39" s="9"/>
      <c r="D39" s="9"/>
      <c r="E39" s="13" t="s">
        <v>76</v>
      </c>
      <c r="F39" s="14" t="s">
        <v>32</v>
      </c>
      <c r="G39" s="14" t="str">
        <f aca="false">IF($C$11=0,"REQUIRED IF DATA",IF(INVENTORY_DTL_6b!$J$18 + INVENTORY_DTL_6b!$J$28 + INVENTORY_DTL_6b!$J$30 + INVENTORY_DTL_6b!$J$31 = 0, "No Data","REQUIRED"))</f>
        <v>No Data</v>
      </c>
      <c r="H39" s="19" t="str">
        <f aca="false">$G39</f>
        <v>No Data</v>
      </c>
      <c r="I39" s="7"/>
      <c r="J39" s="7"/>
      <c r="K39" s="7"/>
      <c r="L39" s="7"/>
      <c r="M39" s="7"/>
    </row>
    <row r="40" customFormat="false" ht="14.25" hidden="false" customHeight="false" outlineLevel="0" collapsed="false">
      <c r="B40" s="43" t="s">
        <v>77</v>
      </c>
      <c r="C40" s="19"/>
      <c r="D40" s="19"/>
      <c r="E40" s="13" t="s">
        <v>78</v>
      </c>
      <c r="F40" s="14" t="s">
        <v>35</v>
      </c>
      <c r="G40" s="14" t="str">
        <f aca="false">IF($C$11=0,"REQUIRED IF DATA",IF(REGALIA_SALES_DTL_7b!$F$32 + REGALIA_SALES_DTL_7b!$H$32 + REGALIA_SALES_DTL_7b!$I$32 +REGALIA_SALES_DTL_7b!$I$53   = 0,"No Data","REQUIRED"))</f>
        <v>No Data</v>
      </c>
      <c r="H40" s="19" t="str">
        <f aca="false">$G40</f>
        <v>No Data</v>
      </c>
      <c r="I40" s="7"/>
      <c r="J40" s="7"/>
      <c r="K40" s="7"/>
      <c r="L40" s="7"/>
      <c r="M40" s="7"/>
    </row>
    <row r="41" customFormat="false" ht="14.25" hidden="false" customHeight="false" outlineLevel="0" collapsed="false">
      <c r="B41" s="19"/>
      <c r="C41" s="19"/>
      <c r="D41" s="19"/>
      <c r="E41" s="13" t="s">
        <v>79</v>
      </c>
      <c r="F41" s="14" t="s">
        <v>80</v>
      </c>
      <c r="G41" s="14" t="str">
        <f aca="false">IF($C$11=0,"REQUIRED IF DATA",IF(DEPR_DTL_8b!$I$54 + DEPR_DTL_8b!$J$54 + DEPR_DTL_8b!$K$54 + DEPR_DTL_8b!$L$54 + DEPR_DTL_8b!$M$54 = 0, "No Data","REQUIRED"))</f>
        <v>REQUIRED</v>
      </c>
      <c r="H41" s="19" t="str">
        <f aca="false">$G41</f>
        <v>REQUIRED</v>
      </c>
      <c r="I41" s="7"/>
      <c r="J41" s="7"/>
      <c r="K41" s="7"/>
      <c r="L41" s="7"/>
      <c r="M41" s="7"/>
    </row>
    <row r="42" customFormat="false" ht="14.25" hidden="false" customHeight="false" outlineLevel="0" collapsed="false">
      <c r="B42" s="19"/>
      <c r="C42" s="19"/>
      <c r="D42" s="19"/>
      <c r="E42" s="13" t="s">
        <v>81</v>
      </c>
      <c r="F42" s="14" t="s">
        <v>82</v>
      </c>
      <c r="G42" s="14" t="str">
        <f aca="false">IF($C$11=0,"REQUIRED IF DATA",IF(DEPR_DTL_8c!$I$54 + DEPR_DTL_8c!$J$54 + DEPR_DTL_8c!$K$54 + DEPR_DTL_8c!$L$54 + DEPR_DTL_8c!$M$54 = 0, "No Data","REQUIRED"))</f>
        <v>No Data</v>
      </c>
      <c r="H42" s="19" t="str">
        <f aca="false">$G42</f>
        <v>No Data</v>
      </c>
      <c r="I42" s="7"/>
      <c r="J42" s="7"/>
      <c r="K42" s="7"/>
      <c r="L42" s="7"/>
      <c r="M42" s="7"/>
    </row>
    <row r="43" customFormat="false" ht="14.25" hidden="false" customHeight="false" outlineLevel="0" collapsed="false">
      <c r="B43" s="19"/>
      <c r="C43" s="19"/>
      <c r="D43" s="19"/>
      <c r="E43" s="13" t="s">
        <v>83</v>
      </c>
      <c r="F43" s="14" t="s">
        <v>84</v>
      </c>
      <c r="G43" s="14" t="str">
        <f aca="false">IF($C$11=0,"REQUIRED IF DATA",IF(TRANSFER_IN_9b!$F$32 + TRANSFER_IN_9b!$F$47 + TRANSFER_IN_9b!$F$54 = 0,"No Data","REQUIRED"))</f>
        <v>No Data</v>
      </c>
      <c r="H43" s="19" t="str">
        <f aca="false">$G43</f>
        <v>No Data</v>
      </c>
      <c r="I43" s="7"/>
      <c r="J43" s="7"/>
      <c r="K43" s="7"/>
      <c r="L43" s="7"/>
      <c r="M43" s="7"/>
    </row>
    <row r="44" customFormat="false" ht="14.25" hidden="false" customHeight="false" outlineLevel="0" collapsed="false">
      <c r="B44" s="19"/>
      <c r="C44" s="19"/>
      <c r="D44" s="19"/>
      <c r="E44" s="13" t="s">
        <v>85</v>
      </c>
      <c r="F44" s="14" t="s">
        <v>84</v>
      </c>
      <c r="G44" s="14" t="str">
        <f aca="false">IF($C$11=0,"REQUIRED IF DATA",IF(TRANSFER_IN_9c!$F$32 + TRANSFER_IN_9c!$F$47 + TRANSFER_IN_9c!$F$54 = 0,"No Data","REQUIRED"))</f>
        <v>No Data</v>
      </c>
      <c r="H44" s="19" t="str">
        <f aca="false">$G44</f>
        <v>No Data</v>
      </c>
      <c r="I44" s="7"/>
      <c r="J44" s="7"/>
      <c r="K44" s="7"/>
      <c r="L44" s="7"/>
      <c r="M44" s="7"/>
    </row>
    <row r="45" customFormat="false" ht="14.25" hidden="false" customHeight="false" outlineLevel="0" collapsed="false">
      <c r="B45" s="19"/>
      <c r="C45" s="19"/>
      <c r="D45" s="19"/>
      <c r="E45" s="13" t="s">
        <v>86</v>
      </c>
      <c r="F45" s="14" t="s">
        <v>84</v>
      </c>
      <c r="G45" s="14" t="str">
        <f aca="false">IF($C$11=0,"REQUIRED IF DATA",IF(TRANSFER_IN_9d!$F$55 = 0,"No Data","REQUIRED"))</f>
        <v>No Data</v>
      </c>
      <c r="H45" s="19" t="str">
        <f aca="false">$G45</f>
        <v>No Data</v>
      </c>
      <c r="I45" s="7"/>
      <c r="J45" s="7"/>
      <c r="K45" s="7"/>
      <c r="L45" s="7"/>
      <c r="M45" s="7"/>
    </row>
    <row r="46" customFormat="false" ht="14.25" hidden="false" customHeight="false" outlineLevel="0" collapsed="false">
      <c r="B46" s="19"/>
      <c r="C46" s="19"/>
      <c r="D46" s="19"/>
      <c r="E46" s="13" t="s">
        <v>87</v>
      </c>
      <c r="F46" s="14" t="s">
        <v>88</v>
      </c>
      <c r="G46" s="14" t="str">
        <f aca="false">IF($C$11=0,"REQUIRED IF DATA",IF(TRANSFER_OUT_10b!$F$28 + TRANSFER_OUT_10b!$F$42 + TRANSFER_OUT_10b!$F$36 + TRANSFER_OUT_10b!$F$54 = 0,"No Data","REQUIRED"))</f>
        <v>REQUIRED</v>
      </c>
      <c r="H46" s="19" t="str">
        <f aca="false">$G46</f>
        <v>REQUIRED</v>
      </c>
      <c r="I46" s="7"/>
      <c r="J46" s="7"/>
      <c r="K46" s="7"/>
      <c r="L46" s="7"/>
      <c r="M46" s="7"/>
    </row>
    <row r="47" customFormat="false" ht="14.25" hidden="false" customHeight="false" outlineLevel="0" collapsed="false">
      <c r="B47" s="19"/>
      <c r="C47" s="19"/>
      <c r="D47" s="19"/>
      <c r="E47" s="13" t="s">
        <v>89</v>
      </c>
      <c r="F47" s="14" t="s">
        <v>88</v>
      </c>
      <c r="G47" s="14" t="str">
        <f aca="false">IF($C$11=0,"REQUIRED IF DATA",IF(TRANSFER_OUT_10c!$F$28 + TRANSFER_OUT_10c!$F$42 + TRANSFER_OUT_10c!$F$36 + TRANSFER_OUT_10c!$F$54 = 0,"No Data","REQUIRED"))</f>
        <v>No Data</v>
      </c>
      <c r="H47" s="19" t="str">
        <f aca="false">$G47</f>
        <v>No Data</v>
      </c>
      <c r="I47" s="7"/>
      <c r="J47" s="7"/>
      <c r="K47" s="7"/>
      <c r="L47" s="7"/>
      <c r="M47" s="7"/>
    </row>
    <row r="48" customFormat="false" ht="14.25" hidden="false" customHeight="false" outlineLevel="0" collapsed="false">
      <c r="B48" s="19"/>
      <c r="C48" s="19"/>
      <c r="D48" s="19"/>
      <c r="E48" s="13" t="s">
        <v>90</v>
      </c>
      <c r="F48" s="14" t="s">
        <v>88</v>
      </c>
      <c r="G48" s="14" t="str">
        <f aca="false">IF($C$11=0,"REQUIRED IF DATA",IF(TRANSFER_OUT_10d!$F$28 + TRANSFER_OUT_10d!$F$42 + TRANSFER_OUT_10d!$F$38 + TRANSFER_OUT_10d!$F$54 = 0,"No Data","REQUIRED"))</f>
        <v>No Data</v>
      </c>
      <c r="H48" s="19" t="str">
        <f aca="false">$G48</f>
        <v>No Data</v>
      </c>
      <c r="I48" s="7"/>
      <c r="J48" s="7"/>
      <c r="K48" s="7"/>
      <c r="L48" s="7"/>
      <c r="M48" s="7"/>
    </row>
    <row r="49" customFormat="false" ht="14.25" hidden="false" customHeight="false" outlineLevel="0" collapsed="false">
      <c r="B49" s="19"/>
      <c r="C49" s="19"/>
      <c r="D49" s="19"/>
      <c r="E49" s="13"/>
      <c r="F49" s="14"/>
      <c r="G49" s="14"/>
      <c r="H49" s="19"/>
      <c r="I49" s="7"/>
      <c r="J49" s="7"/>
      <c r="K49" s="7"/>
      <c r="L49" s="7"/>
      <c r="M49" s="7"/>
    </row>
    <row r="50" customFormat="false" ht="14.25" hidden="false" customHeight="false" outlineLevel="0" collapsed="false">
      <c r="B50" s="19"/>
      <c r="C50" s="19"/>
      <c r="D50" s="19"/>
      <c r="E50" s="13" t="s">
        <v>91</v>
      </c>
      <c r="F50" s="44" t="s">
        <v>92</v>
      </c>
      <c r="G50" s="14"/>
      <c r="H50" s="19"/>
      <c r="I50" s="7"/>
      <c r="J50" s="7"/>
      <c r="K50" s="7"/>
      <c r="L50" s="7"/>
      <c r="M50" s="7"/>
    </row>
    <row r="51" customFormat="false" ht="14.25" hidden="false" customHeight="false" outlineLevel="0" collapsed="false">
      <c r="B51" s="19"/>
      <c r="C51" s="19"/>
      <c r="D51" s="19"/>
      <c r="E51" s="13"/>
      <c r="F51" s="44"/>
      <c r="G51" s="45"/>
      <c r="H51" s="19"/>
      <c r="I51" s="7"/>
      <c r="J51" s="7"/>
      <c r="K51" s="7"/>
      <c r="L51" s="7"/>
      <c r="M51" s="7"/>
    </row>
    <row r="52" customFormat="false" ht="14.25" hidden="false" customHeight="false" outlineLevel="0" collapsed="false">
      <c r="B52" s="19"/>
      <c r="C52" s="19"/>
      <c r="D52" s="19"/>
      <c r="E52" s="14"/>
      <c r="F52" s="46"/>
      <c r="G52" s="14"/>
      <c r="I52" s="7"/>
      <c r="J52" s="7"/>
      <c r="K52" s="7"/>
      <c r="L52" s="7"/>
      <c r="M52" s="7"/>
    </row>
    <row r="53" customFormat="false" ht="14.25" hidden="false" customHeight="false" outlineLevel="0" collapsed="false">
      <c r="B53" s="19"/>
      <c r="C53" s="19"/>
      <c r="D53" s="19"/>
      <c r="E53" s="47" t="str">
        <f aca="false">CONCATENATE("Version: ",F59," ",B39," ",B38," ",B40)</f>
        <v>Version: AS L 6 LARGE locked LOCAL</v>
      </c>
      <c r="F53" s="47"/>
      <c r="G53" s="47"/>
      <c r="I53" s="7"/>
      <c r="J53" s="7"/>
      <c r="K53" s="7"/>
      <c r="L53" s="7"/>
      <c r="M53" s="7"/>
    </row>
    <row r="54" customFormat="false" ht="14.25" hidden="false" customHeight="false" outlineLevel="0" collapsed="false">
      <c r="B54" s="19"/>
      <c r="C54" s="19"/>
      <c r="D54" s="19"/>
      <c r="E54" s="48" t="s">
        <v>93</v>
      </c>
      <c r="F54" s="48"/>
      <c r="G54" s="48"/>
      <c r="I54" s="7"/>
      <c r="J54" s="7"/>
      <c r="K54" s="7"/>
      <c r="L54" s="7"/>
      <c r="M54" s="7"/>
    </row>
    <row r="55" customFormat="false" ht="14.25" hidden="true" customHeight="false" outlineLevel="0" collapsed="false">
      <c r="B55" s="19"/>
      <c r="C55" s="19"/>
      <c r="D55" s="19"/>
      <c r="E55" s="49"/>
      <c r="F55" s="14"/>
      <c r="G55" s="14"/>
      <c r="I55" s="7"/>
      <c r="J55" s="7"/>
      <c r="K55" s="7"/>
      <c r="L55" s="7"/>
      <c r="M55" s="7"/>
    </row>
    <row r="56" customFormat="false" ht="14.25" hidden="true" customHeight="false" outlineLevel="0" collapsed="false">
      <c r="B56" s="50" t="s">
        <v>94</v>
      </c>
      <c r="C56" s="50"/>
      <c r="D56" s="50"/>
      <c r="E56" s="50"/>
      <c r="F56" s="50"/>
      <c r="G56" s="50"/>
      <c r="I56" s="7"/>
      <c r="J56" s="7"/>
      <c r="K56" s="7"/>
      <c r="L56" s="7"/>
      <c r="M56" s="7"/>
    </row>
    <row r="57" customFormat="false" ht="14.25" hidden="true" customHeight="false" outlineLevel="0" collapsed="false">
      <c r="B57" s="51"/>
      <c r="C57" s="51"/>
      <c r="D57" s="51"/>
      <c r="E57" s="51"/>
      <c r="F57" s="51"/>
      <c r="G57" s="51"/>
      <c r="I57" s="7"/>
      <c r="J57" s="7"/>
      <c r="K57" s="7"/>
      <c r="L57" s="7"/>
      <c r="M57" s="7"/>
    </row>
    <row r="58" customFormat="false" ht="14.25" hidden="true" customHeight="false" outlineLevel="0" collapsed="false">
      <c r="B58" s="52" t="str">
        <f aca="false">C67&amp;"  "&amp;C8&amp;C71&amp;C63&amp;C69&amp;C64&amp;C70</f>
        <v>Branch:   SCA, Inc.- Middle Kingdom                                               Period:  1/01/2025             to     12/31/2025            .</v>
      </c>
      <c r="C58" s="51"/>
      <c r="D58" s="51"/>
      <c r="E58" s="51"/>
      <c r="F58" s="51"/>
      <c r="G58" s="51" t="s">
        <v>26</v>
      </c>
      <c r="I58" s="7"/>
      <c r="J58" s="7"/>
      <c r="K58" s="7"/>
      <c r="L58" s="7"/>
      <c r="M58" s="7"/>
    </row>
    <row r="59" customFormat="false" ht="14.25" hidden="true" customHeight="false" outlineLevel="0" collapsed="false">
      <c r="B59" s="51" t="str">
        <f aca="false">E53</f>
        <v>Version: AS L 6 LARGE locked LOCAL</v>
      </c>
      <c r="C59" s="51"/>
      <c r="D59" s="19"/>
      <c r="E59" s="51"/>
      <c r="F59" s="51" t="s">
        <v>95</v>
      </c>
      <c r="G59" s="51" t="s">
        <v>96</v>
      </c>
      <c r="I59" s="7"/>
      <c r="J59" s="7"/>
      <c r="K59" s="7"/>
      <c r="L59" s="7"/>
      <c r="M59" s="7"/>
    </row>
    <row r="60" customFormat="false" ht="14.25" hidden="true" customHeight="false" outlineLevel="0" collapsed="false">
      <c r="B60" s="51"/>
      <c r="C60" s="51"/>
      <c r="D60" s="53" t="s">
        <v>22</v>
      </c>
      <c r="E60" s="51"/>
      <c r="F60" s="51" t="s">
        <v>74</v>
      </c>
      <c r="G60" s="51" t="s">
        <v>97</v>
      </c>
      <c r="I60" s="7"/>
      <c r="J60" s="7"/>
      <c r="K60" s="7"/>
      <c r="L60" s="7"/>
      <c r="M60" s="7"/>
    </row>
    <row r="61" customFormat="false" ht="14.25" hidden="true" customHeight="false" outlineLevel="0" collapsed="false">
      <c r="B61" s="51" t="s">
        <v>98</v>
      </c>
      <c r="C61" s="54" t="n">
        <f aca="false">IF(OR(C12="",C11=""),"",
IF(OR(C12=1,C13=D60,C13=D62),1,
IF(C13=D61,
IF(C12=2,4,IF(C12=3,7,10)))))</f>
        <v>1</v>
      </c>
      <c r="D61" s="55"/>
      <c r="E61" s="51"/>
      <c r="F61" s="51" t="s">
        <v>99</v>
      </c>
      <c r="G61" s="51" t="s">
        <v>100</v>
      </c>
      <c r="I61" s="7"/>
      <c r="J61" s="7"/>
      <c r="K61" s="7"/>
      <c r="L61" s="7"/>
      <c r="M61" s="7"/>
    </row>
    <row r="62" customFormat="false" ht="14.25" hidden="true" customHeight="false" outlineLevel="0" collapsed="false">
      <c r="B62" s="51" t="s">
        <v>101</v>
      </c>
      <c r="C62" s="54" t="n">
        <f aca="false">IF(OR(C12="",C11=""),"",((C12/4)*12))</f>
        <v>12</v>
      </c>
      <c r="D62" s="56"/>
      <c r="E62" s="51"/>
      <c r="F62" s="51" t="s">
        <v>102</v>
      </c>
      <c r="G62" s="51" t="s">
        <v>103</v>
      </c>
      <c r="I62" s="7"/>
      <c r="J62" s="7"/>
      <c r="K62" s="7"/>
      <c r="L62" s="7"/>
      <c r="M62" s="7"/>
    </row>
    <row r="63" customFormat="false" ht="14.25" hidden="true" customHeight="false" outlineLevel="0" collapsed="false">
      <c r="B63" s="51" t="s">
        <v>104</v>
      </c>
      <c r="C63" s="54" t="str">
        <f aca="false">IF(C61="","",TEXT(DATE(C65,C61,1),"*mm/dd/yyyy"))</f>
        <v>1/01/2025</v>
      </c>
      <c r="D63" s="53" t="n">
        <v>1</v>
      </c>
      <c r="E63" s="51"/>
      <c r="F63" s="51"/>
      <c r="G63" s="51" t="s">
        <v>105</v>
      </c>
      <c r="I63" s="7"/>
      <c r="J63" s="7"/>
      <c r="K63" s="7"/>
      <c r="L63" s="7"/>
      <c r="M63" s="7"/>
    </row>
    <row r="64" customFormat="false" ht="14.25" hidden="true" customHeight="false" outlineLevel="0" collapsed="false">
      <c r="B64" s="51" t="s">
        <v>106</v>
      </c>
      <c r="C64" s="57" t="str">
        <f aca="false">IF(C62="","",TEXT(DATE(C65,C62,C66),"*mm/dd/yyyy"))</f>
        <v>12/31/2025</v>
      </c>
      <c r="D64" s="58" t="n">
        <v>2</v>
      </c>
      <c r="E64" s="51"/>
      <c r="F64" s="51" t="s">
        <v>6</v>
      </c>
      <c r="G64" s="51" t="s">
        <v>107</v>
      </c>
      <c r="I64" s="7"/>
      <c r="J64" s="7"/>
      <c r="K64" s="7"/>
      <c r="L64" s="7"/>
      <c r="M64" s="7"/>
    </row>
    <row r="65" customFormat="false" ht="14.25" hidden="true" customHeight="false" outlineLevel="0" collapsed="false">
      <c r="B65" s="51" t="s">
        <v>108</v>
      </c>
      <c r="C65" s="54" t="n">
        <f aca="false">IF(C11="","",IF(C11&lt;2000,2000+C11,C11))</f>
        <v>2025</v>
      </c>
      <c r="D65" s="58" t="n">
        <v>3</v>
      </c>
      <c r="E65" s="51"/>
      <c r="F65" s="51"/>
      <c r="G65" s="51" t="s">
        <v>109</v>
      </c>
      <c r="I65" s="7"/>
      <c r="J65" s="7"/>
      <c r="K65" s="7"/>
      <c r="L65" s="7"/>
      <c r="M65" s="7"/>
    </row>
    <row r="66" customFormat="false" ht="14.25" hidden="true" customHeight="false" outlineLevel="0" collapsed="false">
      <c r="B66" s="51" t="s">
        <v>110</v>
      </c>
      <c r="C66" s="54" t="str">
        <f aca="false">IF(OR(C62=6, C62=9),"30","31")</f>
        <v>31</v>
      </c>
      <c r="D66" s="55" t="n">
        <v>4</v>
      </c>
      <c r="E66" s="51"/>
      <c r="F66" s="51"/>
      <c r="G66" s="51" t="s">
        <v>111</v>
      </c>
      <c r="I66" s="7"/>
      <c r="J66" s="7"/>
      <c r="K66" s="7"/>
      <c r="L66" s="7"/>
      <c r="M66" s="7"/>
    </row>
    <row r="67" customFormat="false" ht="14.25" hidden="true" customHeight="false" outlineLevel="0" collapsed="false">
      <c r="B67" s="51" t="s">
        <v>112</v>
      </c>
      <c r="C67" s="54" t="s">
        <v>113</v>
      </c>
      <c r="D67" s="59"/>
      <c r="E67" s="51"/>
      <c r="F67" s="51" t="s">
        <v>75</v>
      </c>
      <c r="G67" s="51"/>
      <c r="I67" s="7"/>
      <c r="J67" s="7"/>
      <c r="K67" s="7"/>
      <c r="L67" s="7"/>
      <c r="M67" s="7"/>
    </row>
    <row r="68" customFormat="false" ht="14.25" hidden="true" customHeight="false" outlineLevel="0" collapsed="false">
      <c r="B68" s="51" t="s">
        <v>114</v>
      </c>
      <c r="C68" s="54" t="s">
        <v>115</v>
      </c>
      <c r="D68" s="19"/>
      <c r="E68" s="51"/>
      <c r="F68" s="51" t="s">
        <v>116</v>
      </c>
      <c r="G68" s="51"/>
      <c r="I68" s="7"/>
      <c r="J68" s="7"/>
      <c r="K68" s="7"/>
      <c r="L68" s="7"/>
      <c r="M68" s="7"/>
    </row>
    <row r="69" customFormat="false" ht="14.25" hidden="true" customHeight="false" outlineLevel="0" collapsed="false">
      <c r="B69" s="51" t="s">
        <v>117</v>
      </c>
      <c r="C69" s="54" t="s">
        <v>118</v>
      </c>
      <c r="D69" s="51"/>
      <c r="E69" s="51" t="s">
        <v>119</v>
      </c>
      <c r="F69" s="51" t="s">
        <v>120</v>
      </c>
      <c r="G69" s="51"/>
      <c r="I69" s="7"/>
      <c r="J69" s="7"/>
      <c r="K69" s="7"/>
      <c r="L69" s="7"/>
      <c r="M69" s="7"/>
    </row>
    <row r="70" customFormat="false" ht="14.25" hidden="true" customHeight="false" outlineLevel="0" collapsed="false">
      <c r="B70" s="51" t="s">
        <v>121</v>
      </c>
      <c r="C70" s="54" t="s">
        <v>122</v>
      </c>
      <c r="D70" s="51"/>
      <c r="E70" s="51" t="s">
        <v>77</v>
      </c>
      <c r="F70" s="51" t="s">
        <v>123</v>
      </c>
      <c r="G70" s="51"/>
      <c r="I70" s="7"/>
      <c r="J70" s="7"/>
      <c r="K70" s="7"/>
      <c r="L70" s="7"/>
      <c r="M70" s="7"/>
    </row>
    <row r="71" customFormat="false" ht="14.25" hidden="true" customHeight="false" outlineLevel="0" collapsed="false">
      <c r="B71" s="51" t="s">
        <v>124</v>
      </c>
      <c r="C71" s="54" t="str">
        <f aca="false">RIGHT(C68,LEN(C68)-LEN(C8))</f>
        <v>                                               Period:  </v>
      </c>
      <c r="D71" s="51"/>
      <c r="E71" s="51"/>
      <c r="F71" s="51"/>
      <c r="G71" s="51"/>
      <c r="I71" s="7"/>
      <c r="J71" s="7"/>
      <c r="K71" s="7"/>
      <c r="L71" s="7"/>
      <c r="M71" s="7"/>
    </row>
    <row r="72" customFormat="false" ht="14.25" hidden="true" customHeight="false" outlineLevel="0" collapsed="false">
      <c r="B72" s="9"/>
      <c r="C72" s="9"/>
      <c r="D72" s="9"/>
      <c r="E72" s="9"/>
      <c r="F72" s="9"/>
      <c r="G72" s="9"/>
      <c r="I72" s="7"/>
      <c r="J72" s="7"/>
      <c r="K72" s="7"/>
      <c r="L72" s="7"/>
      <c r="M72" s="7"/>
    </row>
    <row r="73" customFormat="false" ht="14.25" hidden="true" customHeight="false" outlineLevel="0" collapsed="false">
      <c r="B73" s="60" t="n">
        <v>0.2</v>
      </c>
      <c r="C73" s="61" t="n">
        <v>0.52</v>
      </c>
      <c r="D73" s="61" t="n">
        <v>0.712</v>
      </c>
      <c r="E73" s="61" t="n">
        <v>0.8272</v>
      </c>
      <c r="F73" s="61" t="n">
        <v>0.9424</v>
      </c>
      <c r="G73" s="62" t="n">
        <v>1</v>
      </c>
      <c r="I73" s="7"/>
      <c r="J73" s="7"/>
      <c r="K73" s="7"/>
      <c r="L73" s="7"/>
      <c r="M73" s="7"/>
    </row>
    <row r="74" customFormat="false" ht="14.25" hidden="true" customHeight="false" outlineLevel="0" collapsed="false">
      <c r="B74" s="63" t="n">
        <v>2020</v>
      </c>
      <c r="C74" s="64" t="n">
        <v>2019</v>
      </c>
      <c r="D74" s="64" t="n">
        <v>2018</v>
      </c>
      <c r="E74" s="64" t="n">
        <v>2017</v>
      </c>
      <c r="F74" s="64" t="n">
        <v>2016</v>
      </c>
      <c r="G74" s="65" t="n">
        <v>2015</v>
      </c>
      <c r="I74" s="7"/>
      <c r="J74" s="7"/>
      <c r="K74" s="7"/>
      <c r="L74" s="7"/>
      <c r="M74" s="7"/>
    </row>
    <row r="75" customFormat="false" ht="14.25" hidden="true" customHeight="false" outlineLevel="0" collapsed="false">
      <c r="B75" s="66" t="n">
        <v>0.2</v>
      </c>
      <c r="C75" s="67" t="n">
        <v>0.32</v>
      </c>
      <c r="D75" s="67" t="n">
        <v>0.192</v>
      </c>
      <c r="E75" s="67" t="n">
        <v>0.1152</v>
      </c>
      <c r="F75" s="67" t="n">
        <v>0.1152</v>
      </c>
      <c r="G75" s="68" t="n">
        <v>0.0576</v>
      </c>
      <c r="I75" s="7"/>
      <c r="J75" s="7"/>
      <c r="K75" s="7"/>
      <c r="L75" s="7"/>
      <c r="M75" s="7"/>
    </row>
    <row r="76" customFormat="false" ht="14.25" hidden="true" customHeight="false" outlineLevel="0" collapsed="false">
      <c r="B76" s="69"/>
      <c r="C76" s="69"/>
      <c r="D76" s="69"/>
      <c r="E76" s="69"/>
      <c r="F76" s="69"/>
      <c r="G76" s="69"/>
      <c r="I76" s="7"/>
      <c r="J76" s="7"/>
      <c r="K76" s="7"/>
      <c r="L76" s="7"/>
      <c r="M76" s="7"/>
    </row>
    <row r="77" customFormat="false" ht="14.25" hidden="true" customHeight="false" outlineLevel="0" collapsed="false">
      <c r="B77" s="60" t="n">
        <v>0.1429</v>
      </c>
      <c r="C77" s="61" t="n">
        <v>0.3878</v>
      </c>
      <c r="D77" s="61" t="n">
        <v>0.5627</v>
      </c>
      <c r="E77" s="61" t="n">
        <v>0.6876</v>
      </c>
      <c r="F77" s="61" t="n">
        <v>0.7769</v>
      </c>
      <c r="G77" s="61" t="n">
        <v>0.8661</v>
      </c>
      <c r="H77" s="61" t="n">
        <v>0.9554</v>
      </c>
      <c r="I77" s="62" t="n">
        <v>1</v>
      </c>
      <c r="J77" s="7"/>
      <c r="K77" s="7"/>
      <c r="L77" s="7"/>
      <c r="M77" s="7"/>
    </row>
    <row r="78" customFormat="false" ht="14.25" hidden="true" customHeight="false" outlineLevel="0" collapsed="false">
      <c r="B78" s="63" t="n">
        <v>2020</v>
      </c>
      <c r="C78" s="64" t="n">
        <v>2019</v>
      </c>
      <c r="D78" s="64" t="n">
        <v>2018</v>
      </c>
      <c r="E78" s="64" t="n">
        <v>2017</v>
      </c>
      <c r="F78" s="64" t="n">
        <v>2016</v>
      </c>
      <c r="G78" s="64" t="n">
        <v>2015</v>
      </c>
      <c r="H78" s="64" t="n">
        <v>2014</v>
      </c>
      <c r="I78" s="65" t="n">
        <v>2013</v>
      </c>
      <c r="J78" s="7"/>
      <c r="K78" s="7"/>
      <c r="L78" s="7"/>
      <c r="M78" s="7"/>
    </row>
    <row r="79" customFormat="false" ht="14.25" hidden="true" customHeight="false" outlineLevel="0" collapsed="false">
      <c r="B79" s="70" t="n">
        <v>0.1429</v>
      </c>
      <c r="C79" s="71" t="n">
        <v>0.2449</v>
      </c>
      <c r="D79" s="67" t="n">
        <v>0.1749</v>
      </c>
      <c r="E79" s="67" t="n">
        <v>0.1249</v>
      </c>
      <c r="F79" s="67" t="n">
        <v>0.0893</v>
      </c>
      <c r="G79" s="67" t="n">
        <v>0.0892</v>
      </c>
      <c r="H79" s="67" t="n">
        <v>0.0893</v>
      </c>
      <c r="I79" s="68" t="n">
        <v>0.0446</v>
      </c>
      <c r="J79" s="7"/>
      <c r="K79" s="7"/>
      <c r="L79" s="7"/>
      <c r="M79" s="7"/>
    </row>
    <row r="80" customFormat="false" ht="14.25" hidden="true" customHeight="false" outlineLevel="0" collapsed="false">
      <c r="I80" s="72"/>
      <c r="J80" s="7"/>
      <c r="K80" s="7"/>
      <c r="L80" s="7"/>
      <c r="M80" s="7"/>
    </row>
    <row r="81" customFormat="false" ht="14.25" hidden="true" customHeight="false" outlineLevel="0" collapsed="false">
      <c r="B81" s="19"/>
      <c r="C81" s="19"/>
      <c r="D81" s="9"/>
      <c r="E81" s="73" t="s">
        <v>125</v>
      </c>
      <c r="F81" s="74" t="b">
        <f aca="false">IF($C$64="",FALSE(), MIN($H$81:$J$81)&lt;DATEVALUE($C$64))</f>
        <v>0</v>
      </c>
      <c r="G81" s="74" t="b">
        <f aca="false">IF($C$64="",FALSE(),
DATE(YEAR(MIN($H$81:$J$81)),MONTH(MIN(MIN($H$81:$J$81))),DAY(MIN(MIN($H$81:$J$81))))-60&lt;DATEVALUE($C$64))</f>
        <v>0</v>
      </c>
      <c r="H81" s="75" t="n">
        <f aca="false">IF(ISBLANK(CONTACT_INFO_1!$H$16),DATEVALUE("1/1/2099"),CONTACT_INFO_1!$H$16)</f>
        <v>46387</v>
      </c>
      <c r="I81" s="75" t="n">
        <f aca="false">IF(ISBLANK(CONTACT_INFO_1!$H$27),DATEVALUE("1/1/2099"),CONTACT_INFO_1!$H$27)</f>
        <v>72686</v>
      </c>
      <c r="J81" s="75" t="n">
        <f aca="false">IF(ISBLANK(CONTACT_INFO_1!$H$35),DATEVALUE("1/1/2099"),CONTACT_INFO_1!$H$35)</f>
        <v>46388</v>
      </c>
      <c r="K81" s="75"/>
      <c r="L81" s="75"/>
      <c r="M81" s="7"/>
    </row>
    <row r="82" customFormat="false" ht="14.25" hidden="true" customHeight="false" outlineLevel="0" collapsed="false">
      <c r="B82" s="19"/>
      <c r="C82" s="9"/>
      <c r="D82" s="9"/>
      <c r="E82" s="73" t="s">
        <v>126</v>
      </c>
      <c r="F82" s="74" t="b">
        <f aca="false">IF($C$64="",FALSE(), MIN(H82:M82)&lt;DATEVALUE($C$64))</f>
        <v>0</v>
      </c>
      <c r="G82" s="74" t="b">
        <f aca="false">IF($C$64="",FALSE(),
DATE(YEAR(MIN($H$82:$M$82)),MONTH(MIN(MIN($H$82:$M$82))),DAY(MIN(MIN($H$82:$M$82))))-60&lt;DATEVALUE($C$64))</f>
        <v>0</v>
      </c>
      <c r="H82" s="75" t="n">
        <f aca="false">IF(ISBLANK(CONTACT_INFO_1!$H$16),DATEVALUE("1/1/2099"),CONTACT_INFO_1!$H$16)</f>
        <v>46387</v>
      </c>
      <c r="I82" s="75" t="n">
        <f aca="false">IF(ISBLANK(PRIMARY_ACCOUNT_2a!$H$45),DATEVALUE("1/1/2099"),PRIMARY_ACCOUNT_2a!$H$45)</f>
        <v>46173</v>
      </c>
      <c r="J82" s="75" t="n">
        <f aca="false">IF(ISBLANK(PRIMARY_ACCOUNT_2a!$H$47),DATEVALUE("1/1/2099"),PRIMARY_ACCOUNT_2a!$H$47)</f>
        <v>46447</v>
      </c>
      <c r="K82" s="75" t="n">
        <f aca="false">IF(ISBLANK(PRIMARY_ACCOUNT_2a!$H$49),DATEVALUE("1/1/2099"),PRIMARY_ACCOUNT_2a!$H$49)</f>
        <v>46418</v>
      </c>
      <c r="L82" s="75" t="n">
        <f aca="false">IF(ISBLANK(PRIMARY_ACCOUNT_2a!$H$51),DATEVALUE("1/1/2099"),PRIMARY_ACCOUNT_2a!$H$51)</f>
        <v>46387</v>
      </c>
      <c r="M82" s="75" t="n">
        <f aca="false">IF(ISBLANK(PRIMARY_ACCOUNT_2a!$H$53),DATEVALUE("1/1/2099"),PRIMARY_ACCOUNT_2a!$H$53)</f>
        <v>46223</v>
      </c>
      <c r="N82" s="7"/>
    </row>
    <row r="83" customFormat="false" ht="14.25" hidden="true" customHeight="false" outlineLevel="0" collapsed="false">
      <c r="B83" s="19"/>
      <c r="C83" s="19"/>
      <c r="D83" s="9"/>
      <c r="E83" s="73" t="s">
        <v>127</v>
      </c>
      <c r="F83" s="74" t="b">
        <f aca="false">IF($C$64="",FALSE(), MIN(H83:M83)&lt;DATEVALUE($C$64))</f>
        <v>1</v>
      </c>
      <c r="G83" s="74" t="b">
        <f aca="false">IF($C$64="",FALSE(),
DATE(YEAR(MIN($H$83:$M$83)),MONTH(MIN(MIN($H$83:$M$83))),DAY(MIN(MIN($H$83:$M$83))))-60&lt;DATEVALUE($C$64))</f>
        <v>1</v>
      </c>
      <c r="H83" s="75" t="n">
        <f aca="false">MIN(IF(ISBLANK(SECONDARY_ACCOUNTS_2b!$D$29),DATEVALUE("1/1/2099"),SECONDARY_ACCOUNTS_2b!$D$29),
IF(ISBLANK(SECONDARY_ACCOUNTS_2b!$E$29),DATEVALUE("1/1/2099"),SECONDARY_ACCOUNTS_2b!$E$29),
IF(ISBLANK(SECONDARY_ACCOUNTS_2b!$F$29),DATEVALUE("1/1/2099"),SECONDARY_ACCOUNTS_2b!$F$29),
IF(ISBLANK(SECONDARY_ACCOUNTS_2b!$G$29),DATEVALUE("1/1/2099"),SECONDARY_ACCOUNTS_2b!$G$29))</f>
        <v>72686</v>
      </c>
      <c r="I83" s="75" t="n">
        <f aca="false">MIN(IF(ISBLANK(SECONDARY_ACCOUNTS_2b!$D$32),DATEVALUE("1/1/2099"),SECONDARY_ACCOUNTS_2b!$D$32),
IF(ISBLANK(SECONDARY_ACCOUNTS_2b!$E$32),DATEVALUE("1/1/2099"),SECONDARY_ACCOUNTS_2b!$E$32),
IF(ISBLANK(SECONDARY_ACCOUNTS_2b!$F$32),DATEVALUE("1/1/2099"),SECONDARY_ACCOUNTS_2b!$F$32),
IF(ISBLANK(SECONDARY_ACCOUNTS_2b!$G$32),DATEVALUE("1/1/2099"),SECONDARY_ACCOUNTS_2b!$G$32))</f>
        <v>46173</v>
      </c>
      <c r="J83" s="75" t="n">
        <f aca="false">MIN(IF(ISBLANK(SECONDARY_ACCOUNTS_2b!$D$35),DATEVALUE("1/1/2099"),SECONDARY_ACCOUNTS_2b!$D$35),
IF(ISBLANK(SECONDARY_ACCOUNTS_2b!$E$35),DATEVALUE("1/1/2099"),SECONDARY_ACCOUNTS_2b!$E$35),
IF(ISBLANK(SECONDARY_ACCOUNTS_2b!$F$35),DATEVALUE("1/1/2099"),SECONDARY_ACCOUNTS_2b!$F$35),
IF(ISBLANK(SECONDARY_ACCOUNTS_2b!$G$35),DATEVALUE("1/1/2099"),SECONDARY_ACCOUNTS_2b!$G$35))</f>
        <v>46447</v>
      </c>
      <c r="K83" s="75" t="n">
        <f aca="false">MIN(IF(ISBLANK(SECONDARY_ACCOUNTS_2b!$D$38),DATEVALUE("1/1/2099"),SECONDARY_ACCOUNTS_2b!$D$38),
IF(ISBLANK(SECONDARY_ACCOUNTS_2b!$E$38),DATEVALUE("1/1/2099"),SECONDARY_ACCOUNTS_2b!$E$38),
IF(ISBLANK(SECONDARY_ACCOUNTS_2b!$F$38),DATEVALUE("1/1/2099"),SECONDARY_ACCOUNTS_2b!$F$38),
IF(ISBLANK(SECONDARY_ACCOUNTS_2b!$G$38),DATEVALUE("1/1/2099"),SECONDARY_ACCOUNTS_2b!$G$38))</f>
        <v>46418</v>
      </c>
      <c r="L83" s="75" t="n">
        <f aca="false">MIN(IF(ISBLANK(SECONDARY_ACCOUNTS_2b!$D$41),DATEVALUE("1/1/2099"),SECONDARY_ACCOUNTS_2b!$D$41),
IF(ISBLANK(SECONDARY_ACCOUNTS_2b!$E$41),DATEVALUE("1/1/2099"),SECONDARY_ACCOUNTS_2b!$E$41),
IF(ISBLANK(SECONDARY_ACCOUNTS_2b!$F$41),DATEVALUE("1/1/2099"),SECONDARY_ACCOUNTS_2b!$F$41),
IF(ISBLANK(SECONDARY_ACCOUNTS_2b!$G$41),DATEVALUE("1/1/2099"),SECONDARY_ACCOUNTS_2b!$G$41))</f>
        <v>46387</v>
      </c>
      <c r="M83" s="75" t="n">
        <f aca="false">MIN(IF(ISBLANK(SECONDARY_ACCOUNTS_2b!$D$44),DATEVALUE("1/1/2099"),SECONDARY_ACCOUNTS_2b!$D$44),
IF(ISBLANK(SECONDARY_ACCOUNTS_2b!$E$44),DATEVALUE("1/1/2099"),SECONDARY_ACCOUNTS_2b!$E$44),
IF(ISBLANK(SECONDARY_ACCOUNTS_2b!$F$44),DATEVALUE("1/1/2099"),SECONDARY_ACCOUNTS_2b!$F$44),
IF(ISBLANK(SECONDARY_ACCOUNTS_2b!$G$44),DATEVALUE("1/1/2099"),SECONDARY_ACCOUNTS_2b!$G$44))</f>
        <v>45869</v>
      </c>
      <c r="N83" s="7"/>
    </row>
    <row r="84" customFormat="false" ht="14.25" hidden="true" customHeight="false" outlineLevel="0" collapsed="false">
      <c r="B84" s="19"/>
      <c r="C84" s="9"/>
      <c r="D84" s="9"/>
      <c r="E84" s="73" t="s">
        <v>128</v>
      </c>
      <c r="F84" s="74" t="b">
        <f aca="false">IF($C$64="",FALSE(), MIN(H84:L84,H84)&lt;DATEVALUE($C$64))</f>
        <v>1</v>
      </c>
      <c r="G84" s="74" t="b">
        <f aca="false">IF($C$64="",FALSE(),
DATE(YEAR(MIN($H$84:$L$84)),MONTH(MIN(MIN($H$84:$L$84))),DAY(MIN(MIN($H$84:$L$84))))-60&lt;DATEVALUE($C$64))</f>
        <v>1</v>
      </c>
      <c r="H84" s="75" t="n">
        <f aca="false">IF(ISBLANK(CONTACT_INFO_1!$H$16),DATEVALUE("1/1/2099"),CONTACT_INFO_1!$H$16)</f>
        <v>46387</v>
      </c>
      <c r="I84" s="75" t="n">
        <f aca="false">IF(ISBLANK(FINANCE_COMM_13!F21),DATEVALUE("1/1/2099"),FINANCE_COMM_13!F21)</f>
        <v>72686</v>
      </c>
      <c r="J84" s="75" t="n">
        <f aca="false">IF(ISBLANK(FINANCE_COMM_13!F25),DATEVALUE("1/1/2099"),FINANCE_COMM_13!F25)</f>
        <v>45961</v>
      </c>
      <c r="K84" s="75" t="n">
        <f aca="false">IF(ISBLANK(FINANCE_COMM_13!F28),DATEVALUE("1/1/2099"),FINANCE_COMM_13!F28)</f>
        <v>72686</v>
      </c>
      <c r="L84" s="75" t="n">
        <f aca="false">IF(ISBLANK(FINANCE_COMM_13!F30),DATEVALUE("1/1/2099"),FINANCE_COMM_13!F30)</f>
        <v>72686</v>
      </c>
      <c r="M84" s="7"/>
    </row>
    <row r="85" customFormat="false" ht="14.25" hidden="true" customHeight="false" outlineLevel="0" collapsed="false">
      <c r="B85" s="19"/>
      <c r="C85" s="9"/>
      <c r="D85" s="9"/>
      <c r="E85" s="73" t="s">
        <v>129</v>
      </c>
      <c r="F85" s="74" t="b">
        <f aca="false">IF($C$64="",FALSE(), MIN(H85:M85)&lt;DATEVALUE($C$64))</f>
        <v>0</v>
      </c>
      <c r="G85" s="74" t="b">
        <f aca="false">IF($C$64="",FALSE(),
DATE(YEAR(MIN($H$85:$M$85)),MONTH(MIN(MIN($H$85:$M$85))),DAY(MIN(MIN($H$85:$M$85))))-60&lt;DATEVALUE($C$64))</f>
        <v>0</v>
      </c>
      <c r="H85" s="75" t="n">
        <f aca="false">MIN(IF(ISBLANK(SECONDARY_ACCOUNTS_2c!$D$29),DATEVALUE("1/1/2099"),SECONDARY_ACCOUNTS_2c!$D$29),
IF(ISBLANK(SECONDARY_ACCOUNTS_2c!$E$29),DATEVALUE("1/1/2099"),SECONDARY_ACCOUNTS_2c!$E$29),
IF(ISBLANK(SECONDARY_ACCOUNTS_2c!$F$29),DATEVALUE("1/1/2099"),SECONDARY_ACCOUNTS_2c!$F$29),
IF(ISBLANK(SECONDARY_ACCOUNTS_2c!$G$29),DATEVALUE("1/1/2099"),SECONDARY_ACCOUNTS_2c!$G$29))</f>
        <v>72686</v>
      </c>
      <c r="I85" s="75" t="n">
        <f aca="false">MIN(IF(ISBLANK(SECONDARY_ACCOUNTS_2c!$D$32),DATEVALUE("1/1/2099"),SECONDARY_ACCOUNTS_2c!$D$32),
IF(ISBLANK(SECONDARY_ACCOUNTS_2c!$E$32),DATEVALUE("1/1/2099"),SECONDARY_ACCOUNTS_2c!$E$32),
IF(ISBLANK(SECONDARY_ACCOUNTS_2c!$F$32),DATEVALUE("1/1/2099"),SECONDARY_ACCOUNTS_2c!$F$32),
IF(ISBLANK(SECONDARY_ACCOUNTS_2c!$G$32),DATEVALUE("1/1/2099"),SECONDARY_ACCOUNTS_2c!$G$32))</f>
        <v>72686</v>
      </c>
      <c r="J85" s="75" t="n">
        <f aca="false">MIN(IF(ISBLANK(SECONDARY_ACCOUNTS_2c!$D$35),DATEVALUE("1/1/2099"),SECONDARY_ACCOUNTS_2c!$D$35),
IF(ISBLANK(SECONDARY_ACCOUNTS_2c!$E$35),DATEVALUE("1/1/2099"),SECONDARY_ACCOUNTS_2c!$E$35),
IF(ISBLANK(SECONDARY_ACCOUNTS_2c!$F$35),DATEVALUE("1/1/2099"),SECONDARY_ACCOUNTS_2c!$F$35),
IF(ISBLANK(SECONDARY_ACCOUNTS_2c!$G$35),DATEVALUE("1/1/2099"),SECONDARY_ACCOUNTS_2c!$G$35))</f>
        <v>72686</v>
      </c>
      <c r="K85" s="75" t="n">
        <f aca="false">MIN(IF(ISBLANK(SECONDARY_ACCOUNTS_2c!$D$38),DATEVALUE("1/1/2099"),SECONDARY_ACCOUNTS_2c!$D$38),
IF(ISBLANK(SECONDARY_ACCOUNTS_2c!$E$38),DATEVALUE("1/1/2099"),SECONDARY_ACCOUNTS_2c!$E$38),
IF(ISBLANK(SECONDARY_ACCOUNTS_2c!$F$38),DATEVALUE("1/1/2099"),SECONDARY_ACCOUNTS_2c!$F$38),
IF(ISBLANK(SECONDARY_ACCOUNTS_2c!$G$38),DATEVALUE("1/1/2099"),SECONDARY_ACCOUNTS_2c!$G$38))</f>
        <v>72686</v>
      </c>
      <c r="L85" s="75" t="n">
        <f aca="false">MIN(IF(ISBLANK(SECONDARY_ACCOUNTS_2c!$D$41),DATEVALUE("1/1/2099"),SECONDARY_ACCOUNTS_2c!$D$41),
IF(ISBLANK(SECONDARY_ACCOUNTS_2c!$E$41),DATEVALUE("1/1/2099"),SECONDARY_ACCOUNTS_2c!$E$41),
IF(ISBLANK(SECONDARY_ACCOUNTS_2c!$F$41),DATEVALUE("1/1/2099"),SECONDARY_ACCOUNTS_2c!$F$41),
IF(ISBLANK(SECONDARY_ACCOUNTS_2c!$G$41),DATEVALUE("1/1/2099"),SECONDARY_ACCOUNTS_2c!$G$41))</f>
        <v>72686</v>
      </c>
      <c r="M85" s="75" t="n">
        <f aca="false">MIN(IF(ISBLANK(SECONDARY_ACCOUNTS_2c!$D$44),DATEVALUE("1/1/2099"),SECONDARY_ACCOUNTS_2c!$D$44),
IF(ISBLANK(SECONDARY_ACCOUNTS_2c!$E$44),DATEVALUE("1/1/2099"),SECONDARY_ACCOUNTS_2c!$E$44),
IF(ISBLANK(SECONDARY_ACCOUNTS_2c!$F$44),DATEVALUE("1/1/2099"),SECONDARY_ACCOUNTS_2c!$F$44),
IF(ISBLANK(SECONDARY_ACCOUNTS_2c!$G$44),DATEVALUE("1/1/2099"),SECONDARY_ACCOUNTS_2c!$G$44))</f>
        <v>72686</v>
      </c>
      <c r="N85" s="7"/>
    </row>
    <row r="86" customFormat="false" ht="14.25" hidden="true" customHeight="false" outlineLevel="0" collapsed="false">
      <c r="B86" s="19"/>
      <c r="C86" s="9"/>
      <c r="D86" s="9"/>
      <c r="E86" s="73" t="s">
        <v>130</v>
      </c>
      <c r="F86" s="74" t="b">
        <f aca="false">IF($C$64="",FALSE(), MIN(H86:M86)&lt;DATEVALUE($C$64))</f>
        <v>0</v>
      </c>
      <c r="G86" s="74" t="b">
        <f aca="false">IF($C$64="",FALSE(),
DATE(YEAR(MIN($H$86:$M$86)),MONTH(MIN(MIN($H$86:$M$86))),DAY(MIN(MIN($H$86:$M$86))))-60&lt;DATEVALUE($C$64))</f>
        <v>0</v>
      </c>
      <c r="H86" s="75" t="n">
        <f aca="false">MIN(IF(ISBLANK(SECONDARY_ACCOUNTS_2d!$D$29),DATEVALUE("1/1/2099"),SECONDARY_ACCOUNTS_2d!$D$29),
IF(ISBLANK(SECONDARY_ACCOUNTS_2c!$E$29),DATEVALUE("1/1/2099"),SECONDARY_ACCOUNTS_2c!$E$29),
IF(ISBLANK(SECONDARY_ACCOUNTS_2c!$F$29),DATEVALUE("1/1/2099"),SECONDARY_ACCOUNTS_2c!$F$29),
IF(ISBLANK(SECONDARY_ACCOUNTS_2c!$G$29),DATEVALUE("1/1/2099"),SECONDARY_ACCOUNTS_2c!$G$29))</f>
        <v>72686</v>
      </c>
      <c r="I86" s="75" t="n">
        <f aca="false">MIN(IF(ISBLANK(SECONDARY_ACCOUNTS_2d!$D$32),DATEVALUE("1/1/2099"),SECONDARY_ACCOUNTS_2d!$D$32),
IF(ISBLANK(SECONDARY_ACCOUNTS_2c!$E$32),DATEVALUE("1/1/2099"),SECONDARY_ACCOUNTS_2c!$E$32),
IF(ISBLANK(SECONDARY_ACCOUNTS_2c!$F$32),DATEVALUE("1/1/2099"),SECONDARY_ACCOUNTS_2c!$F$32),
IF(ISBLANK(SECONDARY_ACCOUNTS_2c!$G$32),DATEVALUE("1/1/2099"),SECONDARY_ACCOUNTS_2c!$G$32))</f>
        <v>72686</v>
      </c>
      <c r="J86" s="75" t="n">
        <f aca="false">MIN(IF(ISBLANK(SECONDARY_ACCOUNTS_2d!$D$35),DATEVALUE("1/1/2099"),SECONDARY_ACCOUNTS_2d!$D$35),
IF(ISBLANK(SECONDARY_ACCOUNTS_2c!$E$35),DATEVALUE("1/1/2099"),SECONDARY_ACCOUNTS_2c!$E$35),
IF(ISBLANK(SECONDARY_ACCOUNTS_2c!$F$35),DATEVALUE("1/1/2099"),SECONDARY_ACCOUNTS_2c!$F$35),
IF(ISBLANK(SECONDARY_ACCOUNTS_2c!$G$35),DATEVALUE("1/1/2099"),SECONDARY_ACCOUNTS_2c!$G$35))</f>
        <v>72686</v>
      </c>
      <c r="K86" s="75" t="n">
        <f aca="false">MIN(IF(ISBLANK(SECONDARY_ACCOUNTS_2d!$D$38),DATEVALUE("1/1/2099"),SECONDARY_ACCOUNTS_2d!$D$38),
IF(ISBLANK(SECONDARY_ACCOUNTS_2c!$E$38),DATEVALUE("1/1/2099"),SECONDARY_ACCOUNTS_2c!$E$38),
IF(ISBLANK(SECONDARY_ACCOUNTS_2c!$F$38),DATEVALUE("1/1/2099"),SECONDARY_ACCOUNTS_2c!$F$38),
IF(ISBLANK(SECONDARY_ACCOUNTS_2c!$G$38),DATEVALUE("1/1/2099"),SECONDARY_ACCOUNTS_2c!$G$38))</f>
        <v>72686</v>
      </c>
      <c r="L86" s="75" t="n">
        <f aca="false">MIN(IF(ISBLANK(SECONDARY_ACCOUNTS_2d!$D$41),DATEVALUE("1/1/2099"),SECONDARY_ACCOUNTS_2d!$D$41),
IF(ISBLANK(SECONDARY_ACCOUNTS_2c!$E$41),DATEVALUE("1/1/2099"),SECONDARY_ACCOUNTS_2c!$E$41),
IF(ISBLANK(SECONDARY_ACCOUNTS_2c!$F$41),DATEVALUE("1/1/2099"),SECONDARY_ACCOUNTS_2c!$F$41),
IF(ISBLANK(SECONDARY_ACCOUNTS_2c!$G$41),DATEVALUE("1/1/2099"),SECONDARY_ACCOUNTS_2c!$G$41))</f>
        <v>72686</v>
      </c>
      <c r="M86" s="75" t="n">
        <f aca="false">MIN(IF(ISBLANK(SECONDARY_ACCOUNTS_2d!$D$44),DATEVALUE("1/1/2099"),SECONDARY_ACCOUNTS_2d!$D$44),
IF(ISBLANK(SECONDARY_ACCOUNTS_2c!$E$44),DATEVALUE("1/1/2099"),SECONDARY_ACCOUNTS_2c!$E$44),
IF(ISBLANK(SECONDARY_ACCOUNTS_2c!$F$44),DATEVALUE("1/1/2099"),SECONDARY_ACCOUNTS_2c!$F$44),
IF(ISBLANK(SECONDARY_ACCOUNTS_2c!$G$44),DATEVALUE("1/1/2099"),SECONDARY_ACCOUNTS_2c!$G$44))</f>
        <v>72686</v>
      </c>
      <c r="N86" s="7"/>
    </row>
    <row r="87" customFormat="false" ht="14.25" hidden="true" customHeight="false" outlineLevel="0" collapsed="false">
      <c r="B87" s="19"/>
      <c r="C87" s="9"/>
      <c r="D87" s="9"/>
      <c r="E87" s="9"/>
      <c r="F87" s="9"/>
      <c r="G87" s="9"/>
      <c r="H87" s="75"/>
      <c r="I87" s="75"/>
      <c r="J87" s="75"/>
      <c r="K87" s="75"/>
      <c r="L87" s="75"/>
      <c r="M87" s="7"/>
    </row>
    <row r="88" customFormat="false" ht="14.25" hidden="true" customHeight="false" outlineLevel="0" collapsed="false">
      <c r="B88" s="19"/>
      <c r="C88" s="9"/>
      <c r="D88" s="9"/>
      <c r="E88" s="9"/>
      <c r="F88" s="9"/>
      <c r="G88" s="9"/>
      <c r="I88" s="7"/>
      <c r="J88" s="7"/>
      <c r="K88" s="7"/>
      <c r="L88" s="7"/>
      <c r="M88" s="7"/>
    </row>
    <row r="89" customFormat="false" ht="14.25" hidden="true" customHeight="false" outlineLevel="0" collapsed="false">
      <c r="B89" s="19"/>
      <c r="C89" s="9"/>
      <c r="D89" s="9"/>
      <c r="E89" s="9"/>
      <c r="F89" s="9"/>
      <c r="G89" s="9"/>
      <c r="I89" s="7"/>
      <c r="J89" s="7"/>
      <c r="K89" s="7"/>
      <c r="L89" s="7"/>
      <c r="M89" s="7"/>
    </row>
    <row r="90" customFormat="false" ht="14.25" hidden="true" customHeight="false" outlineLevel="0" collapsed="false">
      <c r="B90" s="19"/>
      <c r="C90" s="9"/>
      <c r="D90" s="9"/>
      <c r="E90" s="9"/>
      <c r="F90" s="9"/>
      <c r="G90" s="9"/>
      <c r="I90" s="7"/>
      <c r="J90" s="7"/>
      <c r="K90" s="7"/>
      <c r="L90" s="7"/>
      <c r="M90" s="7"/>
    </row>
    <row r="91" customFormat="false" ht="14.25" hidden="true" customHeight="false" outlineLevel="0" collapsed="false">
      <c r="B91" s="9" t="s">
        <v>30</v>
      </c>
      <c r="C91" s="9" t="s">
        <v>131</v>
      </c>
      <c r="D91" s="9"/>
      <c r="E91" s="9"/>
      <c r="F91" s="9"/>
      <c r="G91" s="9"/>
      <c r="I91" s="7"/>
      <c r="J91" s="7"/>
      <c r="K91" s="7"/>
      <c r="L91" s="7"/>
      <c r="M91" s="7"/>
    </row>
    <row r="92" customFormat="false" ht="14.25" hidden="true" customHeight="false" outlineLevel="0" collapsed="false">
      <c r="B92" s="9" t="s">
        <v>132</v>
      </c>
      <c r="C92" s="9" t="s">
        <v>133</v>
      </c>
      <c r="D92" s="9"/>
      <c r="E92" s="9"/>
      <c r="F92" s="9"/>
      <c r="G92" s="9"/>
      <c r="I92" s="7"/>
      <c r="J92" s="7"/>
      <c r="K92" s="7"/>
      <c r="L92" s="7"/>
      <c r="M92" s="7"/>
    </row>
    <row r="93" customFormat="false" ht="14.25" hidden="true" customHeight="false" outlineLevel="0" collapsed="false">
      <c r="B93" s="9" t="s">
        <v>134</v>
      </c>
      <c r="C93" s="9"/>
      <c r="D93" s="9"/>
      <c r="E93" s="9"/>
      <c r="F93" s="9"/>
      <c r="G93" s="2"/>
      <c r="H93" s="7"/>
      <c r="I93" s="7"/>
      <c r="J93" s="7"/>
      <c r="K93" s="7"/>
      <c r="L93" s="7"/>
    </row>
    <row r="94" customFormat="false" ht="14.25" hidden="true" customHeight="false" outlineLevel="0" collapsed="false">
      <c r="B94" s="9" t="s">
        <v>135</v>
      </c>
      <c r="C94" s="9"/>
      <c r="D94" s="9"/>
      <c r="E94" s="9"/>
      <c r="F94" s="9"/>
      <c r="G94" s="2"/>
      <c r="H94" s="7"/>
      <c r="I94" s="7"/>
      <c r="J94" s="7"/>
      <c r="K94" s="7"/>
      <c r="L94" s="7"/>
    </row>
    <row r="95" customFormat="false" ht="14.25" hidden="true" customHeight="false" outlineLevel="0" collapsed="false">
      <c r="B95" s="9" t="s">
        <v>136</v>
      </c>
      <c r="C95" s="9"/>
      <c r="D95" s="9"/>
      <c r="E95" s="9"/>
      <c r="F95" s="9"/>
      <c r="G95" s="2"/>
      <c r="H95" s="7"/>
      <c r="I95" s="7"/>
      <c r="J95" s="7"/>
      <c r="K95" s="7"/>
      <c r="L95" s="7"/>
    </row>
    <row r="96" customFormat="false" ht="14.25" hidden="true" customHeight="false" outlineLevel="0" collapsed="false">
      <c r="B96" s="9" t="s">
        <v>137</v>
      </c>
      <c r="C96" s="9"/>
      <c r="D96" s="9"/>
      <c r="E96" s="9"/>
      <c r="F96" s="9"/>
      <c r="G96" s="2"/>
      <c r="H96" s="7"/>
      <c r="I96" s="7"/>
      <c r="J96" s="7"/>
      <c r="K96" s="7"/>
    </row>
    <row r="97" customFormat="false" ht="14.25" hidden="true" customHeight="false" outlineLevel="0" collapsed="false">
      <c r="B97" s="9" t="s">
        <v>138</v>
      </c>
      <c r="C97" s="9"/>
      <c r="D97" s="9"/>
      <c r="E97" s="9"/>
      <c r="F97" s="9"/>
      <c r="G97" s="2"/>
      <c r="H97" s="7"/>
      <c r="I97" s="7"/>
      <c r="J97" s="7"/>
      <c r="K97" s="7"/>
    </row>
    <row r="98" customFormat="false" ht="14.25" hidden="true" customHeight="false" outlineLevel="0" collapsed="false">
      <c r="B98" s="9" t="s">
        <v>139</v>
      </c>
      <c r="C98" s="9"/>
      <c r="D98" s="9"/>
      <c r="E98" s="9"/>
      <c r="F98" s="9"/>
      <c r="G98" s="76"/>
      <c r="H98" s="9"/>
      <c r="I98" s="9"/>
      <c r="J98" s="9"/>
      <c r="K98" s="9"/>
    </row>
    <row r="99" s="1" customFormat="true" ht="14.25" hidden="true" customHeight="false" outlineLevel="0" collapsed="false">
      <c r="B99" s="9" t="s">
        <v>140</v>
      </c>
      <c r="C99" s="9"/>
      <c r="G99" s="2"/>
    </row>
    <row r="100" s="1" customFormat="true" ht="14.25" hidden="true" customHeight="false" outlineLevel="0" collapsed="false">
      <c r="B100" s="9" t="s">
        <v>141</v>
      </c>
      <c r="C100" s="9"/>
      <c r="G100" s="2"/>
    </row>
    <row r="101" s="1" customFormat="true" ht="14.25" hidden="true" customHeight="false" outlineLevel="0" collapsed="false">
      <c r="B101" s="9" t="s">
        <v>142</v>
      </c>
      <c r="C101" s="9"/>
      <c r="G101" s="2"/>
    </row>
    <row r="102" s="1" customFormat="true" ht="14.25" hidden="true" customHeight="false" outlineLevel="0" collapsed="false">
      <c r="B102" s="9" t="s">
        <v>143</v>
      </c>
      <c r="C102" s="9"/>
      <c r="G102" s="2"/>
    </row>
    <row r="103" s="1" customFormat="true" ht="14.25" hidden="true" customHeight="false" outlineLevel="0" collapsed="false">
      <c r="B103" s="9" t="s">
        <v>144</v>
      </c>
      <c r="C103" s="9"/>
      <c r="G103" s="2"/>
    </row>
    <row r="104" s="1" customFormat="true" ht="14.25" hidden="true" customHeight="false" outlineLevel="0" collapsed="false">
      <c r="B104" s="9" t="s">
        <v>145</v>
      </c>
      <c r="C104" s="9"/>
      <c r="G104" s="2"/>
    </row>
    <row r="105" s="1" customFormat="true" ht="14.25" hidden="true" customHeight="false" outlineLevel="0" collapsed="false">
      <c r="B105" s="9" t="s">
        <v>146</v>
      </c>
      <c r="C105" s="9"/>
      <c r="G105" s="2"/>
    </row>
    <row r="106" customFormat="false" ht="14.25" hidden="true" customHeight="false" outlineLevel="0" collapsed="false">
      <c r="B106" s="9" t="s">
        <v>147</v>
      </c>
      <c r="D106" s="9"/>
    </row>
    <row r="107" customFormat="false" ht="14.25" hidden="true" customHeight="false" outlineLevel="0" collapsed="false">
      <c r="B107" s="9" t="s">
        <v>148</v>
      </c>
      <c r="D107" s="9"/>
    </row>
    <row r="108" customFormat="false" ht="14.25" hidden="true" customHeight="false" outlineLevel="0" collapsed="false">
      <c r="B108" s="9" t="s">
        <v>149</v>
      </c>
      <c r="D108" s="9"/>
    </row>
    <row r="109" customFormat="false" ht="14.25" hidden="true" customHeight="false" outlineLevel="0" collapsed="false">
      <c r="B109" s="9" t="s">
        <v>150</v>
      </c>
      <c r="D109" s="9"/>
    </row>
    <row r="110" customFormat="false" ht="14.25" hidden="true" customHeight="false" outlineLevel="0" collapsed="false">
      <c r="D110" s="9"/>
    </row>
    <row r="111" customFormat="false" ht="14.25" hidden="true" customHeight="false" outlineLevel="0" collapsed="false">
      <c r="D111" s="9"/>
    </row>
    <row r="112" customFormat="false" ht="14.25" hidden="true" customHeight="false" outlineLevel="0" collapsed="false">
      <c r="D112" s="9"/>
    </row>
    <row r="113" customFormat="false" ht="14.25" hidden="true" customHeight="false" outlineLevel="0" collapsed="false">
      <c r="D113" s="9"/>
    </row>
    <row r="114" customFormat="false" ht="14.25" hidden="true" customHeight="false" outlineLevel="0" collapsed="false">
      <c r="D114" s="9"/>
    </row>
    <row r="115" customFormat="false" ht="14.25" hidden="true" customHeight="false" outlineLevel="0" collapsed="false">
      <c r="D115" s="9"/>
    </row>
    <row r="116" customFormat="false" ht="14.25" hidden="true" customHeight="false" outlineLevel="0" collapsed="false">
      <c r="D116" s="9"/>
    </row>
    <row r="117" customFormat="false" ht="14.25" hidden="true" customHeight="false" outlineLevel="0" collapsed="false">
      <c r="D117" s="9"/>
    </row>
    <row r="118" customFormat="false" ht="14.25" hidden="true" customHeight="false" outlineLevel="0" collapsed="false">
      <c r="D118" s="9"/>
    </row>
    <row r="119" customFormat="false" ht="14.25" hidden="true" customHeight="false" outlineLevel="0" collapsed="false">
      <c r="D119" s="9"/>
    </row>
    <row r="120" customFormat="false" ht="14.25" hidden="true" customHeight="false" outlineLevel="0" collapsed="false">
      <c r="D120" s="9"/>
    </row>
    <row r="121" customFormat="false" ht="14.25" hidden="true" customHeight="false" outlineLevel="0" collapsed="false">
      <c r="D121" s="9"/>
    </row>
    <row r="122" customFormat="false" ht="14.25" hidden="true" customHeight="false" outlineLevel="0" collapsed="false">
      <c r="D122" s="9"/>
    </row>
    <row r="123" customFormat="false" ht="14.25" hidden="true" customHeight="false" outlineLevel="0" collapsed="false">
      <c r="D123" s="9"/>
    </row>
    <row r="124" customFormat="false" ht="14.25" hidden="true" customHeight="false" outlineLevel="0" collapsed="false">
      <c r="D124" s="9"/>
    </row>
    <row r="125" customFormat="false" ht="14.25" hidden="true" customHeight="false" outlineLevel="0" collapsed="false">
      <c r="D125" s="9"/>
    </row>
    <row r="126" customFormat="false" ht="14.25" hidden="true" customHeight="false" outlineLevel="0" collapsed="false">
      <c r="D126" s="9"/>
    </row>
    <row r="127" customFormat="false" ht="14.25" hidden="true" customHeight="false" outlineLevel="0" collapsed="false">
      <c r="D127" s="9"/>
    </row>
    <row r="128" customFormat="false" ht="14.25" hidden="true" customHeight="false" outlineLevel="0" collapsed="false">
      <c r="D128" s="9"/>
    </row>
    <row r="129" customFormat="false" ht="14.25" hidden="true" customHeight="false" outlineLevel="0" collapsed="false">
      <c r="D129" s="9"/>
    </row>
    <row r="130" customFormat="false" ht="14.25" hidden="true" customHeight="false" outlineLevel="0" collapsed="false">
      <c r="D130" s="9"/>
    </row>
    <row r="131" customFormat="false" ht="14.25" hidden="true" customHeight="false" outlineLevel="0" collapsed="false">
      <c r="D131" s="9"/>
    </row>
    <row r="132" customFormat="false" ht="14.25" hidden="true" customHeight="false" outlineLevel="0" collapsed="false">
      <c r="D132" s="9"/>
    </row>
    <row r="133" customFormat="false" ht="14.25" hidden="true" customHeight="false" outlineLevel="0" collapsed="false">
      <c r="D133" s="9"/>
    </row>
    <row r="134" customFormat="false" ht="14.25" hidden="true" customHeight="false" outlineLevel="0" collapsed="false">
      <c r="D134" s="9"/>
    </row>
    <row r="135" customFormat="false" ht="14.25" hidden="true" customHeight="false" outlineLevel="0" collapsed="false">
      <c r="D135" s="9"/>
    </row>
    <row r="136" customFormat="false" ht="14.25" hidden="true" customHeight="false" outlineLevel="0" collapsed="false">
      <c r="D136" s="9"/>
    </row>
    <row r="137" customFormat="false" ht="14.25" hidden="true" customHeight="false" outlineLevel="0" collapsed="false">
      <c r="D137" s="9"/>
    </row>
    <row r="138" customFormat="false" ht="14.25" hidden="true" customHeight="false" outlineLevel="0" collapsed="false">
      <c r="D138" s="9"/>
    </row>
    <row r="139" customFormat="false" ht="14.25" hidden="true" customHeight="false" outlineLevel="0" collapsed="false"/>
    <row r="140" customFormat="false" ht="14.25" hidden="true" customHeight="false" outlineLevel="0" collapsed="false"/>
    <row r="141" customFormat="false" ht="14.25" hidden="true" customHeight="false" outlineLevel="0" collapsed="false"/>
    <row r="142" customFormat="false" ht="14.25" hidden="true" customHeight="false" outlineLevel="0" collapsed="false"/>
    <row r="143" customFormat="false" ht="14.25" hidden="true" customHeight="false" outlineLevel="0" collapsed="false"/>
    <row r="144" customFormat="false" ht="14.25" hidden="true" customHeight="false" outlineLevel="0" collapsed="false"/>
    <row r="145" customFormat="false" ht="14.25" hidden="true" customHeight="false" outlineLevel="0" collapsed="false"/>
    <row r="146" customFormat="false" ht="14.25" hidden="true" customHeight="false" outlineLevel="0" collapsed="false"/>
    <row r="147" customFormat="false" ht="14.25" hidden="true" customHeight="false" outlineLevel="0" collapsed="false"/>
    <row r="148" customFormat="false" ht="14.25" hidden="true" customHeight="false" outlineLevel="0" collapsed="false"/>
    <row r="149" customFormat="false" ht="14.25" hidden="true" customHeight="false" outlineLevel="0" collapsed="false"/>
    <row r="150" customFormat="false" ht="14.25" hidden="true" customHeight="false" outlineLevel="0" collapsed="false"/>
    <row r="151" customFormat="false" ht="14.25" hidden="true" customHeight="false" outlineLevel="0" collapsed="false"/>
    <row r="152" customFormat="false" ht="14.25" hidden="true" customHeight="false" outlineLevel="0" collapsed="false"/>
    <row r="153" customFormat="false" ht="14.25" hidden="true" customHeight="false" outlineLevel="0" collapsed="false"/>
    <row r="154" customFormat="false" ht="14.25" hidden="true" customHeight="false" outlineLevel="0" collapsed="false"/>
    <row r="155" customFormat="false" ht="14.25" hidden="true" customHeight="false" outlineLevel="0" collapsed="false"/>
    <row r="156" customFormat="false" ht="14.25" hidden="true" customHeight="false" outlineLevel="0" collapsed="false"/>
    <row r="157" customFormat="false" ht="14.25" hidden="true" customHeight="false" outlineLevel="0" collapsed="false"/>
    <row r="158" customFormat="false" ht="14.25" hidden="true" customHeight="false" outlineLevel="0" collapsed="false"/>
    <row r="159" customFormat="false" ht="14.25" hidden="true" customHeight="false" outlineLevel="0" collapsed="false"/>
    <row r="160" customFormat="false" ht="14.25" hidden="true" customHeight="false" outlineLevel="0" collapsed="false"/>
    <row r="161" customFormat="false" ht="14.25" hidden="true" customHeight="false" outlineLevel="0" collapsed="false"/>
    <row r="162" customFormat="false" ht="14.25" hidden="true" customHeight="false" outlineLevel="0" collapsed="false"/>
    <row r="163" customFormat="false" ht="14.25" hidden="true" customHeight="false" outlineLevel="0" collapsed="false"/>
    <row r="164" customFormat="false" ht="14.25" hidden="true" customHeight="false" outlineLevel="0" collapsed="false"/>
    <row r="165" customFormat="false" ht="14.25" hidden="true" customHeight="false" outlineLevel="0" collapsed="false"/>
    <row r="166" customFormat="false" ht="14.25" hidden="true" customHeight="false" outlineLevel="0" collapsed="false"/>
    <row r="167" customFormat="false" ht="14.25" hidden="true" customHeight="false" outlineLevel="0" collapsed="false"/>
    <row r="168" customFormat="false" ht="14.25" hidden="true" customHeight="false" outlineLevel="0" collapsed="false"/>
    <row r="169" customFormat="false" ht="14.25" hidden="true" customHeight="false" outlineLevel="0" collapsed="false"/>
    <row r="170" customFormat="false" ht="14.25" hidden="true" customHeight="false" outlineLevel="0" collapsed="false"/>
    <row r="171" customFormat="false" ht="14.25" hidden="true" customHeight="false" outlineLevel="0" collapsed="false"/>
    <row r="172" customFormat="false" ht="14.25" hidden="true" customHeight="false" outlineLevel="0" collapsed="false"/>
    <row r="173" customFormat="false" ht="14.25" hidden="true" customHeight="false" outlineLevel="0" collapsed="false"/>
    <row r="174" customFormat="false" ht="14.25" hidden="true" customHeight="false" outlineLevel="0" collapsed="false"/>
    <row r="175" customFormat="false" ht="14.25" hidden="true" customHeight="false" outlineLevel="0" collapsed="false"/>
    <row r="176" customFormat="false" ht="14.25" hidden="true" customHeight="false" outlineLevel="0" collapsed="false"/>
    <row r="177" customFormat="false" ht="14.25" hidden="true" customHeight="false" outlineLevel="0" collapsed="false"/>
    <row r="178" customFormat="false" ht="14.25" hidden="true" customHeight="false" outlineLevel="0" collapsed="false"/>
    <row r="179" customFormat="false" ht="14.25" hidden="true" customHeight="false" outlineLevel="0" collapsed="false"/>
    <row r="180" customFormat="false" ht="14.25" hidden="true" customHeight="false" outlineLevel="0" collapsed="false"/>
    <row r="181" customFormat="false" ht="14.25" hidden="true" customHeight="false" outlineLevel="0" collapsed="false"/>
    <row r="182" customFormat="false" ht="14.25" hidden="true" customHeight="false" outlineLevel="0" collapsed="false"/>
    <row r="183" customFormat="false" ht="14.25" hidden="true" customHeight="false" outlineLevel="0" collapsed="false"/>
    <row r="184" customFormat="false" ht="14.25" hidden="true" customHeight="false" outlineLevel="0" collapsed="false"/>
    <row r="185" customFormat="false" ht="14.25" hidden="true" customHeight="false" outlineLevel="0" collapsed="false"/>
    <row r="186" customFormat="false" ht="14.25" hidden="true" customHeight="false" outlineLevel="0" collapsed="false"/>
    <row r="187" customFormat="false" ht="14.25" hidden="true" customHeight="false" outlineLevel="0" collapsed="false"/>
    <row r="188" customFormat="false" ht="14.25" hidden="true" customHeight="false" outlineLevel="0" collapsed="false"/>
    <row r="189" customFormat="false" ht="14.25" hidden="true" customHeight="false" outlineLevel="0" collapsed="false"/>
    <row r="190" customFormat="false" ht="14.25" hidden="true" customHeight="false" outlineLevel="0" collapsed="false"/>
    <row r="191" customFormat="false" ht="14.25" hidden="true" customHeight="false" outlineLevel="0" collapsed="false"/>
    <row r="192" customFormat="false" ht="14.25" hidden="true" customHeight="false" outlineLevel="0" collapsed="false"/>
    <row r="193" customFormat="false" ht="14.25" hidden="true" customHeight="false" outlineLevel="0" collapsed="false"/>
    <row r="194" customFormat="false" ht="14.25" hidden="true" customHeight="false" outlineLevel="0" collapsed="false"/>
    <row r="195" customFormat="false" ht="14.25" hidden="true" customHeight="false" outlineLevel="0" collapsed="false"/>
    <row r="196" customFormat="false" ht="14.25" hidden="true" customHeight="false" outlineLevel="0" collapsed="false"/>
    <row r="197" customFormat="false" ht="14.25" hidden="true" customHeight="false" outlineLevel="0" collapsed="false"/>
    <row r="198" customFormat="false" ht="14.25" hidden="true" customHeight="false" outlineLevel="0" collapsed="false"/>
    <row r="199" customFormat="false" ht="14.25" hidden="true" customHeight="false" outlineLevel="0" collapsed="false"/>
    <row r="200" customFormat="false" ht="14.25" hidden="true" customHeight="false" outlineLevel="0" collapsed="false"/>
  </sheetData>
  <sheetProtection algorithmName="SHA-512" hashValue="A5RO+PPSzkn+JGF7dyWsnn5JIhzObDkZpwEJ99Aus1Ja9tMAEZPlkzgM0fG9qWz7pGyX8QXHCoFeYxGRe1co4w==" saltValue="irpWglN7GADA4IAnadmLbA==" spinCount="100000" sheet="true" objects="true" scenarios="true"/>
  <mergeCells count="21">
    <mergeCell ref="B2:C5"/>
    <mergeCell ref="E3:G3"/>
    <mergeCell ref="E4:G4"/>
    <mergeCell ref="B6:C6"/>
    <mergeCell ref="E6:G6"/>
    <mergeCell ref="B16:C16"/>
    <mergeCell ref="B17:C17"/>
    <mergeCell ref="B19:C20"/>
    <mergeCell ref="B21:C21"/>
    <mergeCell ref="B22:C22"/>
    <mergeCell ref="B23:C23"/>
    <mergeCell ref="B24:C24"/>
    <mergeCell ref="B25:C25"/>
    <mergeCell ref="B26:C26"/>
    <mergeCell ref="B27:C27"/>
    <mergeCell ref="E29:G29"/>
    <mergeCell ref="B33:C33"/>
    <mergeCell ref="B34:C34"/>
    <mergeCell ref="B36:C36"/>
    <mergeCell ref="E53:G53"/>
    <mergeCell ref="E54:G54"/>
  </mergeCells>
  <conditionalFormatting sqref="F11 F26">
    <cfRule type="expression" priority="2" aboveAverage="0" equalAverage="0" bottom="0" percent="0" rank="0" text="" dxfId="0">
      <formula>ISNUMBER(SEARCH("Balanced",F11))</formula>
    </cfRule>
    <cfRule type="expression" priority="3" aboveAverage="0" equalAverage="0" bottom="0" percent="0" rank="0" text="" dxfId="1">
      <formula>ISNUMBER(SEARCH("OUT OF",F11))</formula>
    </cfRule>
  </conditionalFormatting>
  <conditionalFormatting sqref="F8:F10 F25 F30:F31">
    <cfRule type="expression" priority="4" aboveAverage="0" equalAverage="0" bottom="0" percent="0" rank="0" text="" dxfId="2">
      <formula>ISNUMBER(SEARCH("Expiring",F8))</formula>
    </cfRule>
    <cfRule type="expression" priority="5" aboveAverage="0" equalAverage="0" bottom="0" percent="0" rank="0" text="" dxfId="3">
      <formula>ISNUMBER(SEARCH("EXPIRED",F8))</formula>
    </cfRule>
  </conditionalFormatting>
  <dataValidations count="2">
    <dataValidation allowBlank="true" errorStyle="stop" operator="between" showDropDown="false" showErrorMessage="true" showInputMessage="true" sqref="C14" type="list">
      <formula1>$G$58:$G$66</formula1>
      <formula2>0</formula2>
    </dataValidation>
    <dataValidation allowBlank="false" errorStyle="stop" operator="between" showDropDown="false" showErrorMessage="true" showInputMessage="true" sqref="C12" type="list">
      <formula1>$D$63:$D$66</formula1>
      <formula2>0</formula2>
    </dataValidation>
  </dataValidations>
  <hyperlinks>
    <hyperlink ref="E7" location="Contents!A1" display="CONTENTS"/>
    <hyperlink ref="E8" location="CONTACT_INFO_1!A1" display="1. CONTACT INFO"/>
    <hyperlink ref="E9" location="PRIMARY_ACCOUNT_2a!A1" display="2.a PRIMARY ACCOUNT"/>
    <hyperlink ref="E10" location="SECONDARY_ACCOUNTS_2b!A1" display="2.b SECONDARY ACCOUNTS"/>
    <hyperlink ref="E11" location="BALANCE_3!A1" display="3. BALANCE"/>
    <hyperlink ref="E12" location="INCOME_4!A1" display="4. INCOME"/>
    <hyperlink ref="E13" location="ASSET_DTL_5a!A1" display="5.a ASSET DTL"/>
    <hyperlink ref="E14" location="LIABILITY_DTL_5b!A1" display="5.b LIABILITY DTL"/>
    <hyperlink ref="E15" location="INVENTORY_DTL_6!A1" display="6. INVENTORY DTL"/>
    <hyperlink ref="E16" location="REGALIA_SALES_DTL_7!A1" display="7. REGALIA SALES DTL"/>
    <hyperlink ref="E17" location="DEPR_DTL_8!A1" display="8. DEPRECIATION DTL"/>
    <hyperlink ref="E18" location="TRANSFER_IN_9!A1" display="9. TRANSFER IN"/>
    <hyperlink ref="E19" location="TRANSFER_OUT_10!A1" display="10. TRANSFER OUT"/>
    <hyperlink ref="E20" location="INCOME_DTL_11a!A1" display="11.a INCOME DTL"/>
    <hyperlink ref="E21" location="INCOME_DTL_11b!A1" display="11.b INCOME DTL"/>
    <hyperlink ref="E22" location="INCOME_DTL_11c!A1" display="11.c INCOME DTL"/>
    <hyperlink ref="E23" location="EXPENSE_DTL_12a!A1" display="12.a EXPENSE DTL"/>
    <hyperlink ref="E24" location="EXPENSE_DTL_12b!A1" display="12.b EXPENSE DTL"/>
    <hyperlink ref="E25" location="FINANCE_COMM_13!A1" display="13. FINANCE COMM"/>
    <hyperlink ref="E26" location="FUNDS_14!A1" display="14. FUNDS"/>
    <hyperlink ref="E27" location="NEWSLETTER_15!A1" display="15. NEWSLETTER"/>
    <hyperlink ref="E28" location="COMMENTS!A1" display="COMMENTS"/>
    <hyperlink ref="E30" location="SECONDARY_ACCOUNTS_2c!A1" display="2.c SECONDARY ACCOUNTS"/>
    <hyperlink ref="E31" location="SECONDARY_ACCOUNTS_2d!A1" display="2.d SECONDARY ACCOUNTS"/>
    <hyperlink ref="E32" location="ASSET_DTL_5c!A1" display="5.c ASSET DTL"/>
    <hyperlink ref="B36" r:id="rId1" display="Email bugs and comments here!"/>
    <hyperlink ref="E39" location="INVENTORY_DTL_6b!A1" display="6.b INVENTORY DTL"/>
    <hyperlink ref="E40" location="REGALIA_SALES_DTL_7b!A1" display="7.b REGALIA SALES DTL"/>
    <hyperlink ref="E41" location="DEPR_DTL_8b!A1" display="8.b DEPR DTL"/>
    <hyperlink ref="E42" location="DEPR_DTL_8c!A1" display="8.c DEPR DTL"/>
    <hyperlink ref="E43" location="TRANSFER_IN_9b!A1" display="9.b TRANSFER IN"/>
    <hyperlink ref="E44" location="TRANSFER_IN_9c!A1" display="9.c TRANSFER IN"/>
    <hyperlink ref="E45" location="TRANSFER_IN_9d!A1" display="9.d TRANSFER IN"/>
    <hyperlink ref="E46" location="TRANSFER_OUT_10b!A1" display="10.b TRANSFER OUT"/>
    <hyperlink ref="E47" location="TRANSFER_OUT_10c!A1" display="10.c TRANSFER OUT"/>
    <hyperlink ref="E48" location="TRANSFER_OUT_10d!A1" display="10.d TRANSFER OUT"/>
    <hyperlink ref="E50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_Print4">
              <controlPr defaultSize="0" print="false" autoFill="0" autoPict="0" macro="Module1.PrintFour">
                <anchor moveWithCells="true" sizeWithCells="false">
                  <from>
                    <xdr:col>1</xdr:col>
                    <xdr:colOff>32760</xdr:colOff>
                    <xdr:row>29</xdr:row>
                    <xdr:rowOff>21600</xdr:rowOff>
                  </from>
                  <to>
                    <xdr:col>2</xdr:col>
                    <xdr:colOff>-1183320</xdr:colOff>
                    <xdr:row>30</xdr:row>
                    <xdr:rowOff>16200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_PrintForward">
              <controlPr defaultSize="0" print="false" autoFill="0" autoPict="0" macro="Module1.PrintForwards">
                <anchor moveWithCells="true" sizeWithCells="false">
                  <from>
                    <xdr:col>1</xdr:col>
                    <xdr:colOff>32760</xdr:colOff>
                    <xdr:row>30</xdr:row>
                    <xdr:rowOff>32760</xdr:rowOff>
                  </from>
                  <to>
                    <xdr:col>2</xdr:col>
                    <xdr:colOff>-1183320</xdr:colOff>
                    <xdr:row>31</xdr:row>
                    <xdr:rowOff>16560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6" name="B_PrintBackward">
              <controlPr defaultSize="0" print="false" autoFill="0" autoPict="0" macro="Module1.PrintBackwards">
                <anchor moveWithCells="true" sizeWithCells="false">
                  <from>
                    <xdr:col>1</xdr:col>
                    <xdr:colOff>32760</xdr:colOff>
                    <xdr:row>31</xdr:row>
                    <xdr:rowOff>38160</xdr:rowOff>
                  </from>
                  <to>
                    <xdr:col>2</xdr:col>
                    <xdr:colOff>-1183320</xdr:colOff>
                    <xdr:row>32</xdr:row>
                    <xdr:rowOff>21960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7" name="B_NewPeriod">
              <controlPr defaultSize="0" print="false" autoFill="0" autoPict="0" macro="Module5.ResetReport">
                <anchor moveWithCells="true" sizeWithCells="false">
                  <from>
                    <xdr:col>2</xdr:col>
                    <xdr:colOff>48960</xdr:colOff>
                    <xdr:row>29</xdr:row>
                    <xdr:rowOff>21600</xdr:rowOff>
                  </from>
                  <to>
                    <xdr:col>3</xdr:col>
                    <xdr:colOff>-1508040</xdr:colOff>
                    <xdr:row>30</xdr:row>
                    <xdr:rowOff>16200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8" name="B_ImportLedger">
              <controlPr defaultSize="0" print="false" autoFill="0" autoPict="0" macro="Module2.importfromledger">
                <anchor moveWithCells="true" sizeWithCells="false">
                  <from>
                    <xdr:col>2</xdr:col>
                    <xdr:colOff>48960</xdr:colOff>
                    <xdr:row>30</xdr:row>
                    <xdr:rowOff>32760</xdr:rowOff>
                  </from>
                  <to>
                    <xdr:col>3</xdr:col>
                    <xdr:colOff>-1508040</xdr:colOff>
                    <xdr:row>31</xdr:row>
                    <xdr:rowOff>16560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9" name="B_ImportReport">
              <controlPr defaultSize="0" print="false" autoFill="0" autoPict="0" macro="Module3.importFromReport">
                <anchor moveWithCells="true" sizeWithCells="false">
                  <from>
                    <xdr:col>2</xdr:col>
                    <xdr:colOff>48960</xdr:colOff>
                    <xdr:row>31</xdr:row>
                    <xdr:rowOff>38160</xdr:rowOff>
                  </from>
                  <to>
                    <xdr:col>3</xdr:col>
                    <xdr:colOff>-1508040</xdr:colOff>
                    <xdr:row>32</xdr:row>
                    <xdr:rowOff>21960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3" activeCellId="0" sqref="P3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4" min="3" style="1" width="25.62"/>
    <col collapsed="false" customWidth="false" hidden="false" outlineLevel="0" max="5" min="5" style="1" width="9.13"/>
    <col collapsed="false" customWidth="true" hidden="false" outlineLevel="0" max="6" min="6" style="1" width="11.62"/>
    <col collapsed="false" customWidth="true" hidden="false" outlineLevel="0" max="7" min="7" style="1" width="13.62"/>
    <col collapsed="false" customWidth="true" hidden="false" outlineLevel="0" max="8" min="8" style="1" width="17.5"/>
    <col collapsed="false" customWidth="true" hidden="false" outlineLevel="0" max="10" min="9" style="1" width="3.62"/>
    <col collapsed="false" customWidth="false" hidden="true" outlineLevel="0" max="15" min="11" style="1" width="9.1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77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78"/>
      <c r="B2" s="80"/>
      <c r="C2" s="81" t="str">
        <f aca="false">Contents!B59</f>
        <v>Version: AS L 6 LARGE locked LOCAL</v>
      </c>
      <c r="D2" s="80"/>
      <c r="E2" s="80"/>
      <c r="F2" s="80"/>
      <c r="G2" s="80"/>
      <c r="H2" s="80"/>
      <c r="I2" s="80"/>
      <c r="J2" s="78"/>
      <c r="K2" s="78"/>
      <c r="L2" s="78"/>
      <c r="M2" s="78"/>
      <c r="N2" s="78"/>
      <c r="O2" s="78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78"/>
      <c r="B3" s="80"/>
      <c r="C3" s="82" t="str">
        <f aca="false">Contents!$E$3</f>
        <v>THE SOCIETY FOR CREATIVE ANACHRONISM, INC.</v>
      </c>
      <c r="D3" s="82"/>
      <c r="E3" s="82"/>
      <c r="F3" s="82"/>
      <c r="G3" s="82"/>
      <c r="H3" s="82"/>
      <c r="I3" s="80"/>
      <c r="J3" s="78"/>
      <c r="K3" s="78"/>
      <c r="L3" s="78"/>
      <c r="M3" s="78"/>
      <c r="N3" s="78"/>
      <c r="O3" s="78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78"/>
      <c r="B4" s="80"/>
      <c r="C4" s="82" t="str">
        <f aca="false">Contents!$E$4</f>
        <v>FINANCIAL REPORT</v>
      </c>
      <c r="D4" s="82"/>
      <c r="E4" s="82"/>
      <c r="F4" s="82"/>
      <c r="G4" s="82"/>
      <c r="H4" s="82"/>
      <c r="I4" s="80"/>
      <c r="J4" s="78"/>
      <c r="K4" s="78"/>
      <c r="L4" s="78"/>
      <c r="M4" s="78"/>
      <c r="N4" s="78"/>
      <c r="O4" s="78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78"/>
      <c r="B5" s="80"/>
      <c r="C5" s="80"/>
      <c r="D5" s="80"/>
      <c r="E5" s="80"/>
      <c r="F5" s="80"/>
      <c r="G5" s="80"/>
      <c r="H5" s="80"/>
      <c r="I5" s="80"/>
      <c r="J5" s="78"/>
      <c r="K5" s="78"/>
      <c r="L5" s="78"/>
      <c r="M5" s="78"/>
      <c r="N5" s="78"/>
      <c r="O5" s="78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78"/>
      <c r="B6" s="80"/>
      <c r="C6" s="83" t="str">
        <f aca="false">Contents!B58</f>
        <v>Branch:   SCA, Inc.- Middle Kingdom                                               Period:  1/01/2025             to     12/31/2025            .</v>
      </c>
      <c r="D6" s="83"/>
      <c r="E6" s="83"/>
      <c r="F6" s="83"/>
      <c r="G6" s="83"/>
      <c r="H6" s="83"/>
      <c r="I6" s="80"/>
      <c r="J6" s="78"/>
      <c r="K6" s="78"/>
      <c r="L6" s="78"/>
      <c r="M6" s="78"/>
      <c r="N6" s="78"/>
      <c r="O6" s="78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78"/>
      <c r="B7" s="80"/>
      <c r="C7" s="80"/>
      <c r="D7" s="80"/>
      <c r="E7" s="80"/>
      <c r="F7" s="80"/>
      <c r="G7" s="80"/>
      <c r="H7" s="80"/>
      <c r="I7" s="80"/>
      <c r="J7" s="78"/>
      <c r="K7" s="78"/>
      <c r="L7" s="78"/>
      <c r="M7" s="78"/>
      <c r="N7" s="78"/>
      <c r="O7" s="78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78"/>
      <c r="B8" s="80"/>
      <c r="C8" s="84" t="s">
        <v>151</v>
      </c>
      <c r="D8" s="84"/>
      <c r="E8" s="84"/>
      <c r="F8" s="84"/>
      <c r="G8" s="84"/>
      <c r="H8" s="84"/>
      <c r="I8" s="80"/>
      <c r="J8" s="78"/>
      <c r="K8" s="78"/>
      <c r="L8" s="78"/>
      <c r="M8" s="78"/>
      <c r="N8" s="78"/>
      <c r="O8" s="78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78"/>
      <c r="B9" s="80"/>
      <c r="C9" s="80"/>
      <c r="D9" s="80"/>
      <c r="E9" s="80"/>
      <c r="F9" s="80"/>
      <c r="G9" s="80"/>
      <c r="H9" s="80"/>
      <c r="I9" s="80"/>
      <c r="J9" s="78"/>
      <c r="K9" s="78"/>
      <c r="L9" s="78"/>
      <c r="M9" s="78"/>
      <c r="N9" s="78"/>
      <c r="O9" s="78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24.75" hidden="false" customHeight="true" outlineLevel="0" collapsed="false">
      <c r="A10" s="78"/>
      <c r="B10" s="80"/>
      <c r="C10" s="85" t="s">
        <v>152</v>
      </c>
      <c r="D10" s="86" t="s">
        <v>153</v>
      </c>
      <c r="E10" s="86"/>
      <c r="F10" s="86"/>
      <c r="G10" s="86"/>
      <c r="H10" s="86"/>
      <c r="I10" s="80"/>
      <c r="J10" s="78"/>
      <c r="K10" s="78"/>
      <c r="L10" s="78"/>
      <c r="M10" s="78"/>
      <c r="N10" s="78"/>
      <c r="O10" s="78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24.75" hidden="false" customHeight="true" outlineLevel="0" collapsed="false">
      <c r="A11" s="78"/>
      <c r="B11" s="80"/>
      <c r="C11" s="87" t="s">
        <v>154</v>
      </c>
      <c r="D11" s="88" t="str">
        <f aca="false">IF(Contents!$C$10="","",Contents!$C$10)</f>
        <v>David Young</v>
      </c>
      <c r="E11" s="88"/>
      <c r="F11" s="88"/>
      <c r="G11" s="88"/>
      <c r="H11" s="88"/>
      <c r="I11" s="80"/>
      <c r="J11" s="78"/>
      <c r="K11" s="78"/>
      <c r="L11" s="78"/>
      <c r="M11" s="78"/>
      <c r="N11" s="78"/>
      <c r="O11" s="78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24.75" hidden="false" customHeight="true" outlineLevel="0" collapsed="false">
      <c r="A12" s="78"/>
      <c r="B12" s="80"/>
      <c r="C12" s="87" t="s">
        <v>155</v>
      </c>
      <c r="D12" s="89" t="s">
        <v>156</v>
      </c>
      <c r="E12" s="89"/>
      <c r="F12" s="89"/>
      <c r="G12" s="89"/>
      <c r="H12" s="89"/>
      <c r="I12" s="80"/>
      <c r="J12" s="78"/>
      <c r="K12" s="78"/>
      <c r="L12" s="78"/>
      <c r="M12" s="78"/>
      <c r="N12" s="78"/>
      <c r="O12" s="78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24.75" hidden="false" customHeight="true" outlineLevel="0" collapsed="false">
      <c r="A13" s="78"/>
      <c r="B13" s="80"/>
      <c r="C13" s="87" t="s">
        <v>157</v>
      </c>
      <c r="D13" s="90" t="s">
        <v>158</v>
      </c>
      <c r="E13" s="91" t="s">
        <v>159</v>
      </c>
      <c r="F13" s="90" t="s">
        <v>160</v>
      </c>
      <c r="G13" s="91" t="s">
        <v>161</v>
      </c>
      <c r="H13" s="92" t="s">
        <v>162</v>
      </c>
      <c r="I13" s="80"/>
      <c r="J13" s="78"/>
      <c r="K13" s="78"/>
      <c r="L13" s="78"/>
      <c r="M13" s="78"/>
      <c r="N13" s="78"/>
      <c r="O13" s="78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24.75" hidden="false" customHeight="true" outlineLevel="0" collapsed="false">
      <c r="A14" s="78"/>
      <c r="B14" s="80"/>
      <c r="C14" s="93" t="s">
        <v>163</v>
      </c>
      <c r="D14" s="94" t="s">
        <v>164</v>
      </c>
      <c r="E14" s="91" t="s">
        <v>165</v>
      </c>
      <c r="F14" s="95"/>
      <c r="G14" s="95"/>
      <c r="H14" s="95"/>
      <c r="I14" s="80"/>
      <c r="J14" s="78"/>
      <c r="K14" s="78"/>
      <c r="L14" s="78"/>
      <c r="M14" s="78"/>
      <c r="N14" s="78"/>
      <c r="O14" s="78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24.75" hidden="false" customHeight="true" outlineLevel="0" collapsed="false">
      <c r="A15" s="78"/>
      <c r="B15" s="80"/>
      <c r="C15" s="93" t="s">
        <v>166</v>
      </c>
      <c r="D15" s="90" t="s">
        <v>167</v>
      </c>
      <c r="E15" s="90"/>
      <c r="F15" s="90"/>
      <c r="G15" s="91" t="s">
        <v>168</v>
      </c>
      <c r="H15" s="96" t="n">
        <v>60041</v>
      </c>
      <c r="I15" s="80"/>
      <c r="J15" s="78"/>
      <c r="K15" s="78"/>
      <c r="L15" s="78"/>
      <c r="M15" s="78"/>
      <c r="N15" s="78"/>
      <c r="O15" s="78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24.75" hidden="false" customHeight="true" outlineLevel="0" collapsed="false">
      <c r="A16" s="78"/>
      <c r="B16" s="80"/>
      <c r="C16" s="97" t="s">
        <v>169</v>
      </c>
      <c r="D16" s="98" t="s">
        <v>170</v>
      </c>
      <c r="E16" s="98"/>
      <c r="F16" s="98"/>
      <c r="G16" s="99" t="s">
        <v>171</v>
      </c>
      <c r="H16" s="100" t="n">
        <v>46387</v>
      </c>
      <c r="I16" s="80"/>
      <c r="J16" s="78"/>
      <c r="K16" s="78"/>
      <c r="L16" s="78"/>
      <c r="M16" s="78"/>
      <c r="N16" s="78"/>
      <c r="O16" s="78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A17" s="78"/>
      <c r="B17" s="80"/>
      <c r="C17" s="101" t="s">
        <v>172</v>
      </c>
      <c r="D17" s="101"/>
      <c r="E17" s="101"/>
      <c r="F17" s="101"/>
      <c r="G17" s="101"/>
      <c r="H17" s="101"/>
      <c r="I17" s="80"/>
      <c r="J17" s="78"/>
      <c r="K17" s="78"/>
      <c r="L17" s="78"/>
      <c r="M17" s="78"/>
      <c r="N17" s="78"/>
      <c r="O17" s="78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24.75" hidden="false" customHeight="true" outlineLevel="0" collapsed="false">
      <c r="A18" s="78"/>
      <c r="B18" s="80"/>
      <c r="C18" s="102" t="s">
        <v>173</v>
      </c>
      <c r="D18" s="103"/>
      <c r="E18" s="103"/>
      <c r="F18" s="103"/>
      <c r="G18" s="103"/>
      <c r="H18" s="103"/>
      <c r="I18" s="80"/>
      <c r="J18" s="78"/>
      <c r="K18" s="78"/>
      <c r="L18" s="78"/>
      <c r="M18" s="78"/>
      <c r="N18" s="78"/>
      <c r="O18" s="78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24.75" hidden="false" customHeight="true" outlineLevel="0" collapsed="false">
      <c r="A19" s="78"/>
      <c r="B19" s="80"/>
      <c r="C19" s="104" t="s">
        <v>157</v>
      </c>
      <c r="D19" s="105"/>
      <c r="E19" s="106" t="s">
        <v>159</v>
      </c>
      <c r="F19" s="105"/>
      <c r="G19" s="106" t="s">
        <v>161</v>
      </c>
      <c r="H19" s="107"/>
      <c r="I19" s="80"/>
      <c r="J19" s="78"/>
      <c r="K19" s="78"/>
      <c r="L19" s="78"/>
      <c r="M19" s="78"/>
      <c r="N19" s="78"/>
      <c r="O19" s="78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14.25" hidden="false" customHeight="false" outlineLevel="0" collapsed="false">
      <c r="A20" s="78"/>
      <c r="B20" s="80"/>
      <c r="C20" s="80"/>
      <c r="D20" s="80"/>
      <c r="E20" s="80"/>
      <c r="F20" s="80"/>
      <c r="G20" s="80"/>
      <c r="H20" s="80"/>
      <c r="I20" s="80"/>
      <c r="J20" s="78"/>
      <c r="K20" s="78"/>
      <c r="L20" s="78"/>
      <c r="M20" s="78"/>
      <c r="N20" s="78"/>
      <c r="O20" s="78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24.75" hidden="false" customHeight="true" outlineLevel="0" collapsed="false">
      <c r="A21" s="78"/>
      <c r="B21" s="80"/>
      <c r="C21" s="80"/>
      <c r="D21" s="108" t="s">
        <v>175</v>
      </c>
      <c r="E21" s="109" t="s">
        <v>176</v>
      </c>
      <c r="F21" s="109"/>
      <c r="G21" s="109"/>
      <c r="H21" s="109"/>
      <c r="I21" s="80"/>
      <c r="J21" s="78"/>
      <c r="K21" s="78"/>
      <c r="L21" s="78"/>
      <c r="M21" s="78"/>
      <c r="N21" s="78"/>
      <c r="O21" s="78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24.75" hidden="false" customHeight="true" outlineLevel="0" collapsed="false">
      <c r="A22" s="78"/>
      <c r="B22" s="80"/>
      <c r="C22" s="85" t="s">
        <v>154</v>
      </c>
      <c r="D22" s="86"/>
      <c r="E22" s="86"/>
      <c r="F22" s="86"/>
      <c r="G22" s="86"/>
      <c r="H22" s="86"/>
      <c r="I22" s="80"/>
      <c r="J22" s="78"/>
      <c r="K22" s="78"/>
      <c r="L22" s="78"/>
      <c r="M22" s="78"/>
      <c r="N22" s="78"/>
      <c r="O22" s="78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24.75" hidden="false" customHeight="true" outlineLevel="0" collapsed="false">
      <c r="A23" s="78"/>
      <c r="B23" s="80"/>
      <c r="C23" s="87" t="s">
        <v>155</v>
      </c>
      <c r="D23" s="110"/>
      <c r="E23" s="110"/>
      <c r="F23" s="110"/>
      <c r="G23" s="110"/>
      <c r="H23" s="110"/>
      <c r="I23" s="80"/>
      <c r="J23" s="78"/>
      <c r="K23" s="78"/>
      <c r="L23" s="78"/>
      <c r="M23" s="78"/>
      <c r="N23" s="78"/>
      <c r="O23" s="78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24.75" hidden="false" customHeight="true" outlineLevel="0" collapsed="false">
      <c r="A24" s="78"/>
      <c r="B24" s="80"/>
      <c r="C24" s="87" t="s">
        <v>157</v>
      </c>
      <c r="D24" s="90"/>
      <c r="E24" s="91" t="s">
        <v>159</v>
      </c>
      <c r="F24" s="90"/>
      <c r="G24" s="91" t="s">
        <v>161</v>
      </c>
      <c r="H24" s="92"/>
      <c r="I24" s="80"/>
      <c r="J24" s="78"/>
      <c r="K24" s="78"/>
      <c r="L24" s="78"/>
      <c r="M24" s="78"/>
      <c r="N24" s="78"/>
      <c r="O24" s="78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24.75" hidden="false" customHeight="true" outlineLevel="0" collapsed="false">
      <c r="A25" s="78"/>
      <c r="B25" s="80"/>
      <c r="C25" s="93" t="s">
        <v>163</v>
      </c>
      <c r="D25" s="94"/>
      <c r="E25" s="91" t="s">
        <v>165</v>
      </c>
      <c r="F25" s="95"/>
      <c r="G25" s="95"/>
      <c r="H25" s="95"/>
      <c r="I25" s="80"/>
      <c r="J25" s="78"/>
      <c r="K25" s="78"/>
      <c r="L25" s="78"/>
      <c r="M25" s="78"/>
      <c r="N25" s="78"/>
      <c r="O25" s="78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24.75" hidden="false" customHeight="true" outlineLevel="0" collapsed="false">
      <c r="A26" s="78"/>
      <c r="B26" s="80"/>
      <c r="C26" s="93" t="s">
        <v>166</v>
      </c>
      <c r="D26" s="90"/>
      <c r="E26" s="90"/>
      <c r="F26" s="90"/>
      <c r="G26" s="91" t="s">
        <v>168</v>
      </c>
      <c r="H26" s="96"/>
      <c r="I26" s="80"/>
      <c r="J26" s="78"/>
      <c r="K26" s="78"/>
      <c r="L26" s="78"/>
      <c r="M26" s="78"/>
      <c r="N26" s="78"/>
      <c r="O26" s="78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24.75" hidden="false" customHeight="true" outlineLevel="0" collapsed="false">
      <c r="A27" s="78"/>
      <c r="B27" s="80"/>
      <c r="C27" s="104" t="s">
        <v>169</v>
      </c>
      <c r="D27" s="105"/>
      <c r="E27" s="105"/>
      <c r="F27" s="105"/>
      <c r="G27" s="106" t="s">
        <v>171</v>
      </c>
      <c r="H27" s="111"/>
      <c r="I27" s="80"/>
      <c r="J27" s="78"/>
      <c r="K27" s="78"/>
      <c r="L27" s="78"/>
      <c r="M27" s="78"/>
      <c r="N27" s="78"/>
      <c r="O27" s="78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5" hidden="false" customHeight="false" outlineLevel="0" collapsed="false">
      <c r="A28" s="78"/>
      <c r="B28" s="80"/>
      <c r="C28" s="112"/>
      <c r="D28" s="113"/>
      <c r="E28" s="113"/>
      <c r="F28" s="113"/>
      <c r="G28" s="113"/>
      <c r="H28" s="113"/>
      <c r="I28" s="80"/>
      <c r="J28" s="78"/>
      <c r="K28" s="78"/>
      <c r="L28" s="78"/>
      <c r="M28" s="78"/>
      <c r="N28" s="78"/>
      <c r="O28" s="78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24.75" hidden="false" customHeight="true" outlineLevel="0" collapsed="false">
      <c r="A29" s="78"/>
      <c r="B29" s="80"/>
      <c r="C29" s="80"/>
      <c r="D29" s="108" t="s">
        <v>175</v>
      </c>
      <c r="E29" s="109" t="s">
        <v>182</v>
      </c>
      <c r="F29" s="109"/>
      <c r="G29" s="109"/>
      <c r="H29" s="109"/>
      <c r="I29" s="80"/>
      <c r="J29" s="78"/>
      <c r="K29" s="78"/>
      <c r="L29" s="78"/>
      <c r="M29" s="78"/>
      <c r="N29" s="78"/>
      <c r="O29" s="78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24.75" hidden="false" customHeight="true" outlineLevel="0" collapsed="false">
      <c r="A30" s="78"/>
      <c r="B30" s="80"/>
      <c r="C30" s="85" t="s">
        <v>154</v>
      </c>
      <c r="D30" s="86" t="s">
        <v>183</v>
      </c>
      <c r="E30" s="86"/>
      <c r="F30" s="86"/>
      <c r="G30" s="86"/>
      <c r="H30" s="86"/>
      <c r="I30" s="80"/>
      <c r="J30" s="78"/>
      <c r="K30" s="78"/>
      <c r="L30" s="78"/>
      <c r="M30" s="78"/>
      <c r="N30" s="78"/>
      <c r="O30" s="78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24.75" hidden="false" customHeight="true" outlineLevel="0" collapsed="false">
      <c r="A31" s="78"/>
      <c r="B31" s="80"/>
      <c r="C31" s="87" t="s">
        <v>155</v>
      </c>
      <c r="D31" s="110" t="s">
        <v>184</v>
      </c>
      <c r="E31" s="110"/>
      <c r="F31" s="110"/>
      <c r="G31" s="110"/>
      <c r="H31" s="110"/>
      <c r="I31" s="80"/>
      <c r="J31" s="78"/>
      <c r="K31" s="78"/>
      <c r="L31" s="78"/>
      <c r="M31" s="78"/>
      <c r="N31" s="78"/>
      <c r="O31" s="78"/>
      <c r="P31" s="79" t="s">
        <v>181</v>
      </c>
      <c r="Q31" s="78"/>
      <c r="R31" s="78"/>
      <c r="S31" s="78"/>
      <c r="T31" s="79" t="s">
        <v>83</v>
      </c>
    </row>
    <row r="32" customFormat="false" ht="24.75" hidden="false" customHeight="true" outlineLevel="0" collapsed="false">
      <c r="A32" s="78"/>
      <c r="B32" s="80"/>
      <c r="C32" s="87" t="s">
        <v>157</v>
      </c>
      <c r="D32" s="90" t="s">
        <v>185</v>
      </c>
      <c r="E32" s="91" t="s">
        <v>159</v>
      </c>
      <c r="F32" s="90" t="s">
        <v>186</v>
      </c>
      <c r="G32" s="91" t="s">
        <v>161</v>
      </c>
      <c r="H32" s="92" t="s">
        <v>187</v>
      </c>
      <c r="I32" s="80"/>
      <c r="J32" s="78"/>
      <c r="K32" s="78"/>
      <c r="L32" s="78"/>
      <c r="M32" s="78"/>
      <c r="N32" s="78"/>
      <c r="O32" s="78"/>
      <c r="P32" s="79" t="s">
        <v>76</v>
      </c>
      <c r="Q32" s="78"/>
      <c r="R32" s="78"/>
      <c r="S32" s="78"/>
      <c r="T32" s="79" t="s">
        <v>85</v>
      </c>
    </row>
    <row r="33" customFormat="false" ht="24.75" hidden="false" customHeight="true" outlineLevel="0" collapsed="false">
      <c r="A33" s="78"/>
      <c r="B33" s="80"/>
      <c r="C33" s="93" t="s">
        <v>163</v>
      </c>
      <c r="D33" s="94" t="s">
        <v>188</v>
      </c>
      <c r="E33" s="91" t="s">
        <v>165</v>
      </c>
      <c r="F33" s="95"/>
      <c r="G33" s="95"/>
      <c r="H33" s="95"/>
      <c r="I33" s="80"/>
      <c r="J33" s="78"/>
      <c r="K33" s="78"/>
      <c r="L33" s="78"/>
      <c r="M33" s="78"/>
      <c r="N33" s="78"/>
      <c r="O33" s="78"/>
      <c r="P33" s="79" t="s">
        <v>78</v>
      </c>
      <c r="Q33" s="78"/>
      <c r="R33" s="78"/>
      <c r="S33" s="78"/>
      <c r="T33" s="79" t="s">
        <v>86</v>
      </c>
    </row>
    <row r="34" customFormat="false" ht="24.75" hidden="false" customHeight="true" outlineLevel="0" collapsed="false">
      <c r="A34" s="78"/>
      <c r="B34" s="80"/>
      <c r="C34" s="93" t="s">
        <v>166</v>
      </c>
      <c r="D34" s="90" t="s">
        <v>189</v>
      </c>
      <c r="E34" s="90"/>
      <c r="F34" s="90"/>
      <c r="G34" s="91" t="s">
        <v>168</v>
      </c>
      <c r="H34" s="96" t="n">
        <v>127116</v>
      </c>
      <c r="I34" s="80"/>
      <c r="J34" s="78"/>
      <c r="K34" s="78"/>
      <c r="L34" s="78"/>
      <c r="M34" s="78"/>
      <c r="N34" s="78"/>
      <c r="O34" s="78"/>
      <c r="P34" s="79" t="s">
        <v>79</v>
      </c>
      <c r="Q34" s="78"/>
      <c r="R34" s="78"/>
      <c r="S34" s="78"/>
      <c r="T34" s="79" t="s">
        <v>87</v>
      </c>
    </row>
    <row r="35" customFormat="false" ht="24.75" hidden="false" customHeight="true" outlineLevel="0" collapsed="false">
      <c r="A35" s="78"/>
      <c r="B35" s="80"/>
      <c r="C35" s="104" t="s">
        <v>169</v>
      </c>
      <c r="D35" s="105" t="s">
        <v>190</v>
      </c>
      <c r="E35" s="105"/>
      <c r="F35" s="105"/>
      <c r="G35" s="106" t="s">
        <v>171</v>
      </c>
      <c r="H35" s="111" t="n">
        <v>46388</v>
      </c>
      <c r="I35" s="80"/>
      <c r="J35" s="78"/>
      <c r="K35" s="78"/>
      <c r="L35" s="78"/>
      <c r="M35" s="78"/>
      <c r="N35" s="78"/>
      <c r="O35" s="78"/>
      <c r="P35" s="79" t="s">
        <v>81</v>
      </c>
      <c r="Q35" s="78"/>
      <c r="R35" s="78"/>
      <c r="S35" s="78"/>
      <c r="T35" s="79" t="s">
        <v>89</v>
      </c>
    </row>
    <row r="36" customFormat="false" ht="15" hidden="false" customHeight="false" outlineLevel="0" collapsed="false">
      <c r="A36" s="78"/>
      <c r="B36" s="80"/>
      <c r="C36" s="114"/>
      <c r="D36" s="114"/>
      <c r="E36" s="114"/>
      <c r="F36" s="114"/>
      <c r="G36" s="114"/>
      <c r="H36" s="114"/>
      <c r="I36" s="80"/>
      <c r="J36" s="78"/>
      <c r="K36" s="78"/>
      <c r="L36" s="78"/>
      <c r="M36" s="78"/>
      <c r="N36" s="78"/>
      <c r="O36" s="78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A37" s="78"/>
      <c r="B37" s="80"/>
      <c r="C37" s="115" t="s">
        <v>191</v>
      </c>
      <c r="D37" s="115"/>
      <c r="E37" s="115"/>
      <c r="F37" s="115"/>
      <c r="G37" s="115"/>
      <c r="H37" s="115"/>
      <c r="I37" s="80"/>
      <c r="J37" s="78"/>
      <c r="K37" s="78"/>
      <c r="L37" s="78"/>
      <c r="M37" s="78"/>
      <c r="N37" s="78"/>
      <c r="O37" s="78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A38" s="78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A39" s="78"/>
      <c r="B39" s="78"/>
      <c r="C39" s="116" t="n">
        <f aca="false">DATEVALUE(Contents!$C$64)</f>
        <v>46022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A40" s="78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A41" s="78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A42" s="78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</row>
    <row r="45" customFormat="false" ht="14.25" hidden="false" customHeight="false" outlineLevel="0" collapsed="false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</row>
    <row r="46" customFormat="false" ht="14.25" hidden="false" customHeight="false" outlineLevel="0" collapsed="false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Q46" s="78"/>
      <c r="R46" s="78"/>
      <c r="S46" s="78"/>
      <c r="T46" s="78"/>
    </row>
    <row r="47" customFormat="false" ht="14.25" hidden="false" customHeight="false" outlineLevel="0" collapsed="false">
      <c r="Q47" s="78"/>
      <c r="R47" s="78"/>
      <c r="S47" s="78"/>
      <c r="T47" s="78"/>
    </row>
    <row r="48" customFormat="false" ht="14.25" hidden="false" customHeight="false" outlineLevel="0" collapsed="false">
      <c r="S48" s="78"/>
    </row>
    <row r="49" customFormat="false" ht="14.25" hidden="false" customHeight="false" outlineLevel="0" collapsed="false">
      <c r="S49" s="78"/>
    </row>
  </sheetData>
  <sheetProtection algorithmName="SHA-512" hashValue="L9SDbYqtcC0APp4nPC9jtGuxisPSYoBVmyKTTuVaUgBJdGPde/zbQW+znMQnlG1+Wf6T4pwLPiZEm/3yKQznVQ==" saltValue="kJ9ETaFNZE8KUvz9E5NVmQ==" spinCount="100000" sheet="true" objects="true" scenarios="true"/>
  <mergeCells count="25">
    <mergeCell ref="C3:H3"/>
    <mergeCell ref="C4:H4"/>
    <mergeCell ref="C6:H6"/>
    <mergeCell ref="C8:H8"/>
    <mergeCell ref="D10:H10"/>
    <mergeCell ref="D11:H11"/>
    <mergeCell ref="D12:H12"/>
    <mergeCell ref="F14:H14"/>
    <mergeCell ref="D15:F15"/>
    <mergeCell ref="D16:F16"/>
    <mergeCell ref="C17:H17"/>
    <mergeCell ref="D18:H18"/>
    <mergeCell ref="E21:H21"/>
    <mergeCell ref="D22:H22"/>
    <mergeCell ref="D23:H23"/>
    <mergeCell ref="F25:H25"/>
    <mergeCell ref="D26:F26"/>
    <mergeCell ref="D27:F27"/>
    <mergeCell ref="E29:H29"/>
    <mergeCell ref="D30:H30"/>
    <mergeCell ref="D31:H31"/>
    <mergeCell ref="F33:H33"/>
    <mergeCell ref="D34:F34"/>
    <mergeCell ref="D35:F35"/>
    <mergeCell ref="C37:H37"/>
  </mergeCells>
  <conditionalFormatting sqref="H27 H35">
    <cfRule type="expression" priority="2" aboveAverage="0" equalAverage="0" bottom="0" percent="0" rank="0" text="" dxfId="4">
      <formula>IF(OR(ISBLANK($C$39),ISBLANK($H27)),0, IF($H27&lt;$C$39,1,0))</formula>
    </cfRule>
    <cfRule type="expression" priority="3" aboveAverage="0" equalAverage="0" bottom="0" percent="0" rank="0" text="" dxfId="5">
      <formula>IF(ISBLANK($H27),0,IF(DATE(YEAR($H27),MONTH($H27)-2,DAY($H27)&lt;#ref!,1,0),TRUE())</formula>
    </cfRule>
  </conditionalFormatting>
  <conditionalFormatting sqref="H16">
    <cfRule type="expression" priority="4" aboveAverage="0" equalAverage="0" bottom="0" percent="0" rank="0" text="" dxfId="6">
      <formula>IF(OR(ISBLANK($C$39),ISBLANK($H16)),0, IF($H16&lt;$C$39,1,0))</formula>
    </cfRule>
    <cfRule type="expression" priority="5" aboveAverage="0" equalAverage="0" bottom="0" percent="0" rank="0" text="" dxfId="7">
      <formula>IF(ISBLANK($H16),0,IF(DATE(YEAR($H16),MONTH($H16)-2,DAY($H16))&lt;C39,1,0))</formula>
    </cfRule>
  </conditionalFormatting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65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P12" activeCellId="0" sqref="P12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4" min="3" style="1" width="14.62"/>
    <col collapsed="false" customWidth="true" hidden="false" outlineLevel="0" max="5" min="5" style="1" width="27.62"/>
    <col collapsed="false" customWidth="true" hidden="false" outlineLevel="0" max="7" min="6" style="1" width="14.62"/>
    <col collapsed="false" customWidth="true" hidden="false" outlineLevel="0" max="8" min="8" style="1" width="27.62"/>
    <col collapsed="false" customWidth="true" hidden="false" outlineLevel="0" max="9" min="9" style="1" width="3.62"/>
    <col collapsed="false" customWidth="true" hidden="false" outlineLevel="0" max="10" min="10" style="1" width="4.5"/>
    <col collapsed="false" customWidth="true" hidden="true" outlineLevel="0" max="15" min="11" style="1" width="4.5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118"/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119"/>
      <c r="B2" s="120"/>
      <c r="C2" s="81" t="str">
        <f aca="false">Contents!B59</f>
        <v>Version: AS L 6 LARGE locked LOCAL</v>
      </c>
      <c r="D2" s="5"/>
      <c r="E2" s="120"/>
      <c r="F2" s="120"/>
      <c r="G2" s="120"/>
      <c r="H2" s="120"/>
      <c r="I2" s="120"/>
      <c r="J2" s="119"/>
      <c r="K2" s="119"/>
      <c r="L2" s="119"/>
      <c r="M2" s="119"/>
      <c r="N2" s="119"/>
      <c r="O2" s="119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121"/>
      <c r="B3" s="122"/>
      <c r="C3" s="82" t="str">
        <f aca="false">Contents!$E$3</f>
        <v>THE SOCIETY FOR CREATIVE ANACHRONISM, INC.</v>
      </c>
      <c r="D3" s="82"/>
      <c r="E3" s="82"/>
      <c r="F3" s="82"/>
      <c r="G3" s="82"/>
      <c r="H3" s="82"/>
      <c r="I3" s="122"/>
      <c r="J3" s="121"/>
      <c r="K3" s="121"/>
      <c r="L3" s="121"/>
      <c r="M3" s="121"/>
      <c r="N3" s="121"/>
      <c r="O3" s="121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119"/>
      <c r="B4" s="122"/>
      <c r="C4" s="82" t="str">
        <f aca="false">Contents!$E$4</f>
        <v>FINANCIAL REPORT</v>
      </c>
      <c r="D4" s="82"/>
      <c r="E4" s="82"/>
      <c r="F4" s="82"/>
      <c r="G4" s="82"/>
      <c r="H4" s="82"/>
      <c r="I4" s="122"/>
      <c r="J4" s="119"/>
      <c r="K4" s="119"/>
      <c r="L4" s="119"/>
      <c r="M4" s="119"/>
      <c r="N4" s="119"/>
      <c r="O4" s="119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119"/>
      <c r="B5" s="120"/>
      <c r="C5" s="120"/>
      <c r="D5" s="120"/>
      <c r="E5" s="120"/>
      <c r="F5" s="120"/>
      <c r="G5" s="120"/>
      <c r="H5" s="120"/>
      <c r="I5" s="120"/>
      <c r="J5" s="119"/>
      <c r="K5" s="119"/>
      <c r="L5" s="119"/>
      <c r="M5" s="119"/>
      <c r="N5" s="119"/>
      <c r="O5" s="119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119"/>
      <c r="B6" s="120"/>
      <c r="C6" s="123" t="str">
        <f aca="false">Contents!B58</f>
        <v>Branch:   SCA, Inc.- Middle Kingdom                                               Period:  1/01/2025             to     12/31/2025            .</v>
      </c>
      <c r="D6" s="123"/>
      <c r="E6" s="123"/>
      <c r="F6" s="123"/>
      <c r="G6" s="123"/>
      <c r="H6" s="123"/>
      <c r="I6" s="120"/>
      <c r="J6" s="119"/>
      <c r="K6" s="119"/>
      <c r="L6" s="119"/>
      <c r="M6" s="119"/>
      <c r="N6" s="119"/>
      <c r="O6" s="119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119"/>
      <c r="B7" s="120"/>
      <c r="C7" s="120"/>
      <c r="D7" s="120"/>
      <c r="E7" s="120"/>
      <c r="F7" s="120"/>
      <c r="G7" s="120"/>
      <c r="H7" s="120"/>
      <c r="I7" s="120"/>
      <c r="J7" s="119"/>
      <c r="K7" s="119"/>
      <c r="L7" s="119"/>
      <c r="M7" s="119"/>
      <c r="N7" s="119"/>
      <c r="O7" s="119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119"/>
      <c r="B8" s="120"/>
      <c r="C8" s="124" t="s">
        <v>193</v>
      </c>
      <c r="D8" s="124"/>
      <c r="E8" s="124"/>
      <c r="F8" s="124"/>
      <c r="G8" s="124"/>
      <c r="H8" s="124"/>
      <c r="I8" s="120"/>
      <c r="J8" s="119"/>
      <c r="K8" s="119"/>
      <c r="L8" s="119"/>
      <c r="M8" s="119"/>
      <c r="N8" s="119"/>
      <c r="O8" s="119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119"/>
      <c r="B9" s="120"/>
      <c r="C9" s="125"/>
      <c r="D9" s="125"/>
      <c r="E9" s="125"/>
      <c r="F9" s="125"/>
      <c r="G9" s="125"/>
      <c r="H9" s="125"/>
      <c r="I9" s="120"/>
      <c r="J9" s="119"/>
      <c r="K9" s="119"/>
      <c r="L9" s="119"/>
      <c r="M9" s="119"/>
      <c r="N9" s="119"/>
      <c r="O9" s="119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4.25" hidden="false" customHeight="false" outlineLevel="0" collapsed="false">
      <c r="A10" s="119"/>
      <c r="B10" s="120"/>
      <c r="C10" s="126" t="s">
        <v>194</v>
      </c>
      <c r="D10" s="126"/>
      <c r="E10" s="126"/>
      <c r="F10" s="126"/>
      <c r="G10" s="126"/>
      <c r="H10" s="126"/>
      <c r="I10" s="120"/>
      <c r="J10" s="119"/>
      <c r="K10" s="119"/>
      <c r="L10" s="119"/>
      <c r="M10" s="119"/>
      <c r="N10" s="119"/>
      <c r="O10" s="119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false" outlineLevel="0" collapsed="false">
      <c r="A11" s="119"/>
      <c r="B11" s="120"/>
      <c r="C11" s="126" t="s">
        <v>195</v>
      </c>
      <c r="D11" s="126"/>
      <c r="E11" s="126"/>
      <c r="F11" s="126"/>
      <c r="G11" s="126"/>
      <c r="H11" s="126"/>
      <c r="I11" s="120"/>
      <c r="J11" s="119"/>
      <c r="K11" s="119"/>
      <c r="L11" s="119"/>
      <c r="M11" s="119"/>
      <c r="N11" s="119"/>
      <c r="O11" s="119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false" outlineLevel="0" collapsed="false">
      <c r="A12" s="119"/>
      <c r="B12" s="120"/>
      <c r="C12" s="126" t="s">
        <v>196</v>
      </c>
      <c r="D12" s="126"/>
      <c r="E12" s="126"/>
      <c r="F12" s="126"/>
      <c r="G12" s="126"/>
      <c r="H12" s="126"/>
      <c r="I12" s="120"/>
      <c r="J12" s="119"/>
      <c r="K12" s="119"/>
      <c r="L12" s="119"/>
      <c r="M12" s="119"/>
      <c r="N12" s="119"/>
      <c r="O12" s="119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false" outlineLevel="0" collapsed="false">
      <c r="A13" s="119"/>
      <c r="B13" s="120"/>
      <c r="C13" s="127" t="s">
        <v>197</v>
      </c>
      <c r="D13" s="128"/>
      <c r="E13" s="129" t="s">
        <v>198</v>
      </c>
      <c r="F13" s="129"/>
      <c r="G13" s="129"/>
      <c r="H13" s="129"/>
      <c r="I13" s="120"/>
      <c r="J13" s="119"/>
      <c r="K13" s="119"/>
      <c r="L13" s="119"/>
      <c r="M13" s="119"/>
      <c r="N13" s="119"/>
      <c r="O13" s="119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false" outlineLevel="0" collapsed="false">
      <c r="A14" s="119"/>
      <c r="B14" s="120"/>
      <c r="C14" s="130" t="s">
        <v>199</v>
      </c>
      <c r="D14" s="120"/>
      <c r="E14" s="131" t="s">
        <v>8</v>
      </c>
      <c r="F14" s="131"/>
      <c r="G14" s="131"/>
      <c r="H14" s="131"/>
      <c r="I14" s="120"/>
      <c r="J14" s="119"/>
      <c r="K14" s="119"/>
      <c r="L14" s="119"/>
      <c r="M14" s="119"/>
      <c r="N14" s="119"/>
      <c r="O14" s="119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119"/>
      <c r="B15" s="120"/>
      <c r="C15" s="130" t="s">
        <v>200</v>
      </c>
      <c r="D15" s="120"/>
      <c r="E15" s="132" t="s">
        <v>201</v>
      </c>
      <c r="F15" s="133" t="s">
        <v>202</v>
      </c>
      <c r="G15" s="133"/>
      <c r="H15" s="134" t="s">
        <v>203</v>
      </c>
      <c r="I15" s="120"/>
      <c r="J15" s="119"/>
      <c r="K15" s="119"/>
      <c r="L15" s="119"/>
      <c r="M15" s="119"/>
      <c r="N15" s="119"/>
      <c r="O15" s="119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false" outlineLevel="0" collapsed="false">
      <c r="A16" s="119"/>
      <c r="B16" s="120"/>
      <c r="C16" s="130" t="s">
        <v>204</v>
      </c>
      <c r="D16" s="120"/>
      <c r="E16" s="135" t="s">
        <v>205</v>
      </c>
      <c r="F16" s="136" t="s">
        <v>206</v>
      </c>
      <c r="G16" s="136"/>
      <c r="H16" s="137" t="n">
        <v>46022</v>
      </c>
      <c r="I16" s="120"/>
      <c r="J16" s="119"/>
      <c r="K16" s="119"/>
      <c r="L16" s="119"/>
      <c r="M16" s="119"/>
      <c r="N16" s="119"/>
      <c r="O16" s="119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A17" s="119"/>
      <c r="B17" s="120"/>
      <c r="C17" s="138" t="s">
        <v>207</v>
      </c>
      <c r="D17" s="139"/>
      <c r="E17" s="140"/>
      <c r="F17" s="141" t="s">
        <v>208</v>
      </c>
      <c r="G17" s="141"/>
      <c r="H17" s="141"/>
      <c r="I17" s="120"/>
      <c r="J17" s="119"/>
      <c r="K17" s="119"/>
      <c r="L17" s="119"/>
      <c r="M17" s="119"/>
      <c r="N17" s="119"/>
      <c r="O17" s="119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A18" s="119"/>
      <c r="B18" s="120"/>
      <c r="C18" s="120"/>
      <c r="D18" s="120"/>
      <c r="E18" s="142"/>
      <c r="F18" s="142"/>
      <c r="G18" s="142"/>
      <c r="H18" s="143" t="str">
        <f aca="false">Contents!C14</f>
        <v>USD $</v>
      </c>
      <c r="I18" s="120"/>
      <c r="J18" s="119"/>
      <c r="K18" s="119"/>
      <c r="L18" s="119"/>
      <c r="M18" s="119"/>
      <c r="N18" s="119"/>
      <c r="O18" s="119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14.25" hidden="false" customHeight="false" outlineLevel="0" collapsed="false">
      <c r="A19" s="119"/>
      <c r="B19" s="120"/>
      <c r="C19" s="144" t="s">
        <v>209</v>
      </c>
      <c r="D19" s="144"/>
      <c r="E19" s="120"/>
      <c r="F19" s="120"/>
      <c r="G19" s="120"/>
      <c r="H19" s="145" t="n">
        <v>38853.51</v>
      </c>
      <c r="I19" s="120"/>
      <c r="J19" s="119"/>
      <c r="K19" s="119"/>
      <c r="L19" s="119"/>
      <c r="M19" s="119"/>
      <c r="N19" s="119"/>
      <c r="O19" s="119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14.25" hidden="false" customHeight="false" outlineLevel="0" collapsed="false">
      <c r="A20" s="119"/>
      <c r="B20" s="120"/>
      <c r="C20" s="146" t="s">
        <v>210</v>
      </c>
      <c r="D20" s="146"/>
      <c r="E20" s="147" t="s">
        <v>211</v>
      </c>
      <c r="F20" s="148" t="s">
        <v>210</v>
      </c>
      <c r="G20" s="148"/>
      <c r="H20" s="147" t="s">
        <v>211</v>
      </c>
      <c r="I20" s="120"/>
      <c r="J20" s="119"/>
      <c r="K20" s="119"/>
      <c r="L20" s="119"/>
      <c r="M20" s="119"/>
      <c r="N20" s="119"/>
      <c r="O20" s="119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14.25" hidden="false" customHeight="false" outlineLevel="0" collapsed="false">
      <c r="A21" s="119"/>
      <c r="B21" s="120"/>
      <c r="C21" s="149"/>
      <c r="D21" s="149"/>
      <c r="E21" s="150"/>
      <c r="F21" s="151"/>
      <c r="G21" s="151"/>
      <c r="H21" s="152"/>
      <c r="I21" s="120"/>
      <c r="J21" s="119"/>
      <c r="K21" s="119"/>
      <c r="L21" s="119"/>
      <c r="M21" s="119"/>
      <c r="N21" s="119"/>
      <c r="O21" s="119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14.25" hidden="false" customHeight="false" outlineLevel="0" collapsed="false">
      <c r="A22" s="119"/>
      <c r="B22" s="120"/>
      <c r="C22" s="153"/>
      <c r="D22" s="153"/>
      <c r="E22" s="154"/>
      <c r="F22" s="155"/>
      <c r="G22" s="155"/>
      <c r="H22" s="156"/>
      <c r="I22" s="120"/>
      <c r="J22" s="119"/>
      <c r="K22" s="119"/>
      <c r="L22" s="119"/>
      <c r="M22" s="119"/>
      <c r="N22" s="119"/>
      <c r="O22" s="119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14.25" hidden="false" customHeight="false" outlineLevel="0" collapsed="false">
      <c r="A23" s="119"/>
      <c r="B23" s="120"/>
      <c r="C23" s="157"/>
      <c r="D23" s="157"/>
      <c r="E23" s="154"/>
      <c r="F23" s="155"/>
      <c r="G23" s="155"/>
      <c r="H23" s="156"/>
      <c r="I23" s="120"/>
      <c r="J23" s="119"/>
      <c r="K23" s="119"/>
      <c r="L23" s="119"/>
      <c r="M23" s="119"/>
      <c r="N23" s="119"/>
      <c r="O23" s="119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5" hidden="false" customHeight="false" outlineLevel="0" collapsed="false">
      <c r="A24" s="119"/>
      <c r="B24" s="120"/>
      <c r="C24" s="158" t="s">
        <v>212</v>
      </c>
      <c r="D24" s="159"/>
      <c r="E24" s="160"/>
      <c r="F24" s="161" t="s">
        <v>213</v>
      </c>
      <c r="G24" s="161"/>
      <c r="H24" s="162" t="n">
        <f aca="false">SUM(E21:E23)+SUM(H21:H23)</f>
        <v>0</v>
      </c>
      <c r="I24" s="120"/>
      <c r="J24" s="119"/>
      <c r="K24" s="119"/>
      <c r="L24" s="119"/>
      <c r="M24" s="119"/>
      <c r="N24" s="119"/>
      <c r="O24" s="119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15" hidden="false" customHeight="false" outlineLevel="0" collapsed="false">
      <c r="A25" s="119"/>
      <c r="B25" s="120"/>
      <c r="C25" s="163"/>
      <c r="D25" s="163"/>
      <c r="E25" s="164"/>
      <c r="F25" s="165"/>
      <c r="G25" s="166"/>
      <c r="H25" s="164"/>
      <c r="I25" s="120"/>
      <c r="J25" s="119"/>
      <c r="K25" s="119"/>
      <c r="L25" s="119"/>
      <c r="M25" s="119"/>
      <c r="N25" s="119"/>
      <c r="O25" s="119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4.25" hidden="false" customHeight="false" outlineLevel="0" collapsed="false">
      <c r="A26" s="119"/>
      <c r="B26" s="120"/>
      <c r="C26" s="146" t="s">
        <v>214</v>
      </c>
      <c r="D26" s="167" t="s">
        <v>215</v>
      </c>
      <c r="E26" s="147" t="s">
        <v>216</v>
      </c>
      <c r="F26" s="148" t="s">
        <v>214</v>
      </c>
      <c r="G26" s="168" t="s">
        <v>215</v>
      </c>
      <c r="H26" s="169" t="s">
        <v>216</v>
      </c>
      <c r="I26" s="120"/>
      <c r="J26" s="119"/>
      <c r="K26" s="119"/>
      <c r="L26" s="119"/>
      <c r="M26" s="119"/>
      <c r="N26" s="119"/>
      <c r="O26" s="119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false" outlineLevel="0" collapsed="false">
      <c r="A27" s="119"/>
      <c r="B27" s="120"/>
      <c r="C27" s="170"/>
      <c r="D27" s="171"/>
      <c r="E27" s="154"/>
      <c r="F27" s="172"/>
      <c r="G27" s="173"/>
      <c r="H27" s="156"/>
      <c r="I27" s="120"/>
      <c r="J27" s="119"/>
      <c r="K27" s="119"/>
      <c r="L27" s="119"/>
      <c r="M27" s="119"/>
      <c r="N27" s="119"/>
      <c r="O27" s="119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A28" s="119"/>
      <c r="B28" s="120"/>
      <c r="C28" s="174"/>
      <c r="D28" s="171"/>
      <c r="E28" s="154"/>
      <c r="F28" s="175"/>
      <c r="G28" s="176"/>
      <c r="H28" s="156"/>
      <c r="I28" s="120"/>
      <c r="J28" s="119"/>
      <c r="K28" s="119"/>
      <c r="L28" s="119"/>
      <c r="M28" s="119"/>
      <c r="N28" s="119"/>
      <c r="O28" s="119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A29" s="119"/>
      <c r="B29" s="120"/>
      <c r="C29" s="174"/>
      <c r="D29" s="171"/>
      <c r="E29" s="154"/>
      <c r="F29" s="175"/>
      <c r="G29" s="176"/>
      <c r="H29" s="156"/>
      <c r="I29" s="120"/>
      <c r="J29" s="119"/>
      <c r="K29" s="119"/>
      <c r="L29" s="119"/>
      <c r="M29" s="119"/>
      <c r="N29" s="119"/>
      <c r="O29" s="119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4.25" hidden="false" customHeight="false" outlineLevel="0" collapsed="false">
      <c r="A30" s="119"/>
      <c r="B30" s="120"/>
      <c r="C30" s="174"/>
      <c r="D30" s="171"/>
      <c r="E30" s="154"/>
      <c r="F30" s="175"/>
      <c r="G30" s="176"/>
      <c r="H30" s="156"/>
      <c r="I30" s="120"/>
      <c r="J30" s="119"/>
      <c r="K30" s="119"/>
      <c r="L30" s="119"/>
      <c r="M30" s="119"/>
      <c r="N30" s="119"/>
      <c r="O30" s="119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14.25" hidden="false" customHeight="false" outlineLevel="0" collapsed="false">
      <c r="A31" s="119"/>
      <c r="B31" s="120"/>
      <c r="C31" s="174"/>
      <c r="D31" s="177"/>
      <c r="E31" s="154"/>
      <c r="F31" s="175"/>
      <c r="G31" s="176"/>
      <c r="H31" s="156"/>
      <c r="I31" s="120"/>
      <c r="J31" s="119"/>
      <c r="K31" s="119"/>
      <c r="L31" s="119"/>
      <c r="M31" s="119"/>
      <c r="N31" s="119"/>
      <c r="O31" s="119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A32" s="119"/>
      <c r="B32" s="120"/>
      <c r="C32" s="174"/>
      <c r="D32" s="171"/>
      <c r="E32" s="154"/>
      <c r="F32" s="175"/>
      <c r="G32" s="176"/>
      <c r="H32" s="156"/>
      <c r="I32" s="120"/>
      <c r="J32" s="119"/>
      <c r="K32" s="119"/>
      <c r="L32" s="119"/>
      <c r="M32" s="119"/>
      <c r="N32" s="119"/>
      <c r="O32" s="119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A33" s="119"/>
      <c r="B33" s="120"/>
      <c r="C33" s="174"/>
      <c r="D33" s="171"/>
      <c r="E33" s="154"/>
      <c r="F33" s="175"/>
      <c r="G33" s="176"/>
      <c r="H33" s="156"/>
      <c r="I33" s="120"/>
      <c r="J33" s="119"/>
      <c r="K33" s="119"/>
      <c r="L33" s="119"/>
      <c r="M33" s="119"/>
      <c r="N33" s="119"/>
      <c r="O33" s="119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A34" s="119"/>
      <c r="B34" s="120"/>
      <c r="C34" s="178"/>
      <c r="D34" s="179"/>
      <c r="E34" s="180"/>
      <c r="F34" s="181"/>
      <c r="G34" s="182"/>
      <c r="H34" s="183"/>
      <c r="I34" s="120"/>
      <c r="J34" s="119"/>
      <c r="K34" s="119"/>
      <c r="L34" s="119"/>
      <c r="M34" s="119"/>
      <c r="N34" s="119"/>
      <c r="O34" s="119"/>
      <c r="P34" s="79" t="s">
        <v>79</v>
      </c>
      <c r="Q34" s="78"/>
      <c r="R34" s="78"/>
      <c r="S34" s="78"/>
      <c r="T34" s="79" t="s">
        <v>87</v>
      </c>
    </row>
    <row r="35" customFormat="false" ht="15" hidden="false" customHeight="false" outlineLevel="0" collapsed="false">
      <c r="A35" s="119"/>
      <c r="B35" s="120"/>
      <c r="C35" s="184" t="s">
        <v>217</v>
      </c>
      <c r="D35" s="159"/>
      <c r="E35" s="185"/>
      <c r="F35" s="161" t="s">
        <v>213</v>
      </c>
      <c r="G35" s="161"/>
      <c r="H35" s="186" t="n">
        <f aca="false">ROUND(SUM(E27:E34),2)+ROUND(SUM(H27:H34),2)</f>
        <v>0</v>
      </c>
      <c r="I35" s="120"/>
      <c r="J35" s="119"/>
      <c r="K35" s="119"/>
      <c r="L35" s="119"/>
      <c r="M35" s="119"/>
      <c r="N35" s="119"/>
      <c r="O35" s="119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A36" s="119"/>
      <c r="B36" s="120"/>
      <c r="C36" s="144" t="s">
        <v>218</v>
      </c>
      <c r="D36" s="144"/>
      <c r="E36" s="120"/>
      <c r="F36" s="120"/>
      <c r="G36" s="187" t="n">
        <f aca="false">$H$36-$H$37</f>
        <v>0</v>
      </c>
      <c r="H36" s="188" t="n">
        <f aca="false">ROUND(H19+H24-H35,2)</f>
        <v>38853.51</v>
      </c>
      <c r="I36" s="120"/>
      <c r="J36" s="119"/>
      <c r="K36" s="119"/>
      <c r="L36" s="119"/>
      <c r="M36" s="119"/>
      <c r="N36" s="119"/>
      <c r="O36" s="119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A37" s="119"/>
      <c r="B37" s="120"/>
      <c r="C37" s="144" t="s">
        <v>219</v>
      </c>
      <c r="D37" s="144"/>
      <c r="E37" s="113"/>
      <c r="F37" s="113"/>
      <c r="G37" s="187"/>
      <c r="H37" s="189" t="n">
        <v>38853.51</v>
      </c>
      <c r="I37" s="120"/>
      <c r="J37" s="119"/>
      <c r="K37" s="119"/>
      <c r="L37" s="119"/>
      <c r="M37" s="119"/>
      <c r="N37" s="119"/>
      <c r="O37" s="119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A38" s="119"/>
      <c r="B38" s="120"/>
      <c r="C38" s="190" t="s">
        <v>220</v>
      </c>
      <c r="D38" s="190"/>
      <c r="E38" s="190"/>
      <c r="F38" s="191" t="s">
        <v>221</v>
      </c>
      <c r="G38" s="192" t="s">
        <v>222</v>
      </c>
      <c r="H38" s="192"/>
      <c r="I38" s="193"/>
      <c r="J38" s="119"/>
      <c r="K38" s="119"/>
      <c r="L38" s="119"/>
      <c r="M38" s="119"/>
      <c r="N38" s="119"/>
      <c r="O38" s="119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A39" s="119"/>
      <c r="B39" s="120"/>
      <c r="C39" s="144"/>
      <c r="D39" s="144"/>
      <c r="E39" s="194"/>
      <c r="F39" s="194"/>
      <c r="G39" s="195" t="s">
        <v>223</v>
      </c>
      <c r="H39" s="195"/>
      <c r="I39" s="193"/>
      <c r="J39" s="119"/>
      <c r="K39" s="119"/>
      <c r="L39" s="119"/>
      <c r="M39" s="119"/>
      <c r="N39" s="119"/>
      <c r="O39" s="119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A40" s="196"/>
      <c r="B40" s="120"/>
      <c r="C40" s="197"/>
      <c r="D40" s="197"/>
      <c r="E40" s="198" t="s">
        <v>224</v>
      </c>
      <c r="F40" s="198"/>
      <c r="G40" s="198"/>
      <c r="H40" s="199" t="n">
        <v>45443</v>
      </c>
      <c r="I40" s="120"/>
      <c r="J40" s="196"/>
      <c r="K40" s="196"/>
      <c r="L40" s="196"/>
      <c r="M40" s="196"/>
      <c r="N40" s="196"/>
      <c r="O40" s="196"/>
      <c r="P40" s="79" t="s">
        <v>89</v>
      </c>
      <c r="Q40" s="78"/>
      <c r="R40" s="78"/>
      <c r="S40" s="78"/>
      <c r="T40" s="78"/>
    </row>
    <row r="41" customFormat="false" ht="15" hidden="false" customHeight="true" outlineLevel="0" collapsed="false">
      <c r="A41" s="119"/>
      <c r="B41" s="120"/>
      <c r="C41" s="200" t="s">
        <v>225</v>
      </c>
      <c r="D41" s="201"/>
      <c r="E41" s="202" t="s">
        <v>226</v>
      </c>
      <c r="F41" s="203" t="s">
        <v>227</v>
      </c>
      <c r="G41" s="203"/>
      <c r="H41" s="204" t="s">
        <v>228</v>
      </c>
      <c r="I41" s="205"/>
      <c r="J41" s="119"/>
      <c r="K41" s="119"/>
      <c r="L41" s="119"/>
      <c r="M41" s="119"/>
      <c r="N41" s="119"/>
      <c r="O41" s="119"/>
      <c r="P41" s="79" t="s">
        <v>90</v>
      </c>
      <c r="Q41" s="78"/>
      <c r="R41" s="78"/>
      <c r="S41" s="78"/>
      <c r="T41" s="117"/>
    </row>
    <row r="42" customFormat="false" ht="14.25" hidden="false" customHeight="true" outlineLevel="0" collapsed="false">
      <c r="A42" s="119"/>
      <c r="B42" s="120"/>
      <c r="C42" s="206" t="s">
        <v>229</v>
      </c>
      <c r="D42" s="206"/>
      <c r="E42" s="207" t="str">
        <f aca="false">CONTACT_INFO_1!D11</f>
        <v>David Young</v>
      </c>
      <c r="F42" s="208" t="str">
        <f aca="false">CONTACT_INFO_1!D12</f>
        <v>308 Hillview Lane</v>
      </c>
      <c r="G42" s="208"/>
      <c r="H42" s="209" t="n">
        <f aca="false">CONTACT_INFO_1!H15</f>
        <v>60041</v>
      </c>
      <c r="I42" s="210"/>
      <c r="J42" s="119"/>
      <c r="K42" s="119"/>
      <c r="L42" s="119"/>
      <c r="M42" s="119"/>
      <c r="N42" s="119"/>
      <c r="O42" s="119"/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A43" s="119"/>
      <c r="B43" s="120"/>
      <c r="C43" s="206"/>
      <c r="D43" s="206"/>
      <c r="E43" s="211"/>
      <c r="F43" s="212" t="str">
        <f aca="false">IF(CONTACT_INFO_1!D13="","",CONCATENATE(CONTACT_INFO_1!D13,", ",CONTACT_INFO_1!F13,"  ",CONTACT_INFO_1!H13))</f>
        <v>Shepherdsville, KY  40165</v>
      </c>
      <c r="G43" s="212"/>
      <c r="H43" s="213" t="n">
        <f aca="false">CONTACT_INFO_1!H16</f>
        <v>46387</v>
      </c>
      <c r="I43" s="214"/>
      <c r="J43" s="119"/>
      <c r="K43" s="119"/>
      <c r="L43" s="119"/>
      <c r="M43" s="119"/>
      <c r="N43" s="119"/>
      <c r="O43" s="119"/>
      <c r="P43" s="79" t="s">
        <v>91</v>
      </c>
      <c r="Q43" s="78"/>
      <c r="R43" s="78"/>
      <c r="S43" s="78"/>
      <c r="T43" s="78"/>
    </row>
    <row r="44" customFormat="false" ht="14.25" hidden="false" customHeight="true" outlineLevel="0" collapsed="false">
      <c r="A44" s="119"/>
      <c r="B44" s="120"/>
      <c r="C44" s="215" t="s">
        <v>230</v>
      </c>
      <c r="D44" s="215"/>
      <c r="E44" s="216" t="s">
        <v>11</v>
      </c>
      <c r="F44" s="217" t="s">
        <v>231</v>
      </c>
      <c r="G44" s="217"/>
      <c r="H44" s="218" t="n">
        <v>98356</v>
      </c>
      <c r="I44" s="214"/>
      <c r="J44" s="119"/>
      <c r="K44" s="119"/>
      <c r="L44" s="119"/>
      <c r="M44" s="119"/>
      <c r="N44" s="119"/>
      <c r="O44" s="119"/>
      <c r="P44" s="78"/>
      <c r="Q44" s="78"/>
      <c r="R44" s="78"/>
      <c r="S44" s="78"/>
      <c r="T44" s="78"/>
    </row>
    <row r="45" customFormat="false" ht="14.25" hidden="false" customHeight="true" outlineLevel="0" collapsed="false">
      <c r="A45" s="119"/>
      <c r="B45" s="120"/>
      <c r="C45" s="215"/>
      <c r="D45" s="215"/>
      <c r="E45" s="216"/>
      <c r="F45" s="217" t="s">
        <v>232</v>
      </c>
      <c r="G45" s="217"/>
      <c r="H45" s="219" t="n">
        <v>46173</v>
      </c>
      <c r="I45" s="214"/>
      <c r="J45" s="119"/>
      <c r="K45" s="119"/>
      <c r="L45" s="119"/>
      <c r="M45" s="119"/>
      <c r="N45" s="119"/>
      <c r="O45" s="119"/>
      <c r="P45" s="78"/>
      <c r="Q45" s="78"/>
      <c r="R45" s="78"/>
      <c r="S45" s="78"/>
      <c r="T45" s="78"/>
    </row>
    <row r="46" customFormat="false" ht="14.25" hidden="false" customHeight="true" outlineLevel="0" collapsed="false">
      <c r="A46" s="119"/>
      <c r="B46" s="120"/>
      <c r="C46" s="215" t="s">
        <v>233</v>
      </c>
      <c r="D46" s="215"/>
      <c r="E46" s="217" t="s">
        <v>234</v>
      </c>
      <c r="F46" s="217" t="s">
        <v>235</v>
      </c>
      <c r="G46" s="217"/>
      <c r="H46" s="218" t="n">
        <v>8279</v>
      </c>
      <c r="I46" s="214"/>
      <c r="J46" s="119"/>
      <c r="K46" s="119"/>
      <c r="L46" s="119"/>
      <c r="M46" s="119"/>
      <c r="N46" s="119"/>
      <c r="O46" s="119"/>
      <c r="Q46" s="78"/>
      <c r="R46" s="78"/>
      <c r="S46" s="78"/>
      <c r="T46" s="78"/>
    </row>
    <row r="47" customFormat="false" ht="14.25" hidden="false" customHeight="true" outlineLevel="0" collapsed="false">
      <c r="A47" s="119"/>
      <c r="B47" s="120"/>
      <c r="C47" s="215"/>
      <c r="D47" s="215"/>
      <c r="E47" s="217"/>
      <c r="F47" s="217" t="s">
        <v>236</v>
      </c>
      <c r="G47" s="217"/>
      <c r="H47" s="219" t="n">
        <v>46447</v>
      </c>
      <c r="I47" s="214"/>
      <c r="J47" s="119"/>
      <c r="K47" s="119"/>
      <c r="L47" s="119"/>
      <c r="M47" s="119"/>
      <c r="N47" s="119"/>
      <c r="O47" s="119"/>
      <c r="Q47" s="78"/>
      <c r="R47" s="78"/>
      <c r="S47" s="78"/>
      <c r="T47" s="78"/>
    </row>
    <row r="48" customFormat="false" ht="14.25" hidden="false" customHeight="true" outlineLevel="0" collapsed="false">
      <c r="A48" s="119"/>
      <c r="B48" s="120"/>
      <c r="C48" s="215" t="s">
        <v>237</v>
      </c>
      <c r="D48" s="215"/>
      <c r="E48" s="217" t="s">
        <v>183</v>
      </c>
      <c r="F48" s="217" t="s">
        <v>184</v>
      </c>
      <c r="G48" s="217"/>
      <c r="H48" s="218" t="n">
        <v>127116</v>
      </c>
      <c r="I48" s="214"/>
      <c r="J48" s="119"/>
      <c r="K48" s="119"/>
      <c r="L48" s="119"/>
      <c r="M48" s="119"/>
      <c r="N48" s="119"/>
      <c r="O48" s="119"/>
      <c r="S48" s="78"/>
    </row>
    <row r="49" customFormat="false" ht="14.25" hidden="false" customHeight="true" outlineLevel="0" collapsed="false">
      <c r="A49" s="119"/>
      <c r="B49" s="120"/>
      <c r="C49" s="215"/>
      <c r="D49" s="215"/>
      <c r="E49" s="217"/>
      <c r="F49" s="217" t="s">
        <v>238</v>
      </c>
      <c r="G49" s="217"/>
      <c r="H49" s="219" t="n">
        <v>46418</v>
      </c>
      <c r="I49" s="214"/>
      <c r="J49" s="119"/>
      <c r="K49" s="119"/>
      <c r="L49" s="119"/>
      <c r="M49" s="119"/>
      <c r="N49" s="119"/>
      <c r="O49" s="119"/>
      <c r="S49" s="78"/>
    </row>
    <row r="50" customFormat="false" ht="14.25" hidden="false" customHeight="true" outlineLevel="0" collapsed="false">
      <c r="A50" s="119"/>
      <c r="B50" s="120"/>
      <c r="C50" s="215" t="s">
        <v>239</v>
      </c>
      <c r="D50" s="215"/>
      <c r="E50" s="217" t="s">
        <v>14</v>
      </c>
      <c r="F50" s="217" t="s">
        <v>156</v>
      </c>
      <c r="G50" s="217"/>
      <c r="H50" s="218" t="n">
        <v>60041</v>
      </c>
      <c r="I50" s="214"/>
      <c r="J50" s="119"/>
      <c r="K50" s="119"/>
      <c r="L50" s="119"/>
      <c r="M50" s="119"/>
      <c r="N50" s="119"/>
      <c r="O50" s="119"/>
    </row>
    <row r="51" customFormat="false" ht="14.25" hidden="false" customHeight="true" outlineLevel="0" collapsed="false">
      <c r="A51" s="119"/>
      <c r="B51" s="120"/>
      <c r="C51" s="215"/>
      <c r="D51" s="215"/>
      <c r="E51" s="217"/>
      <c r="F51" s="217" t="s">
        <v>240</v>
      </c>
      <c r="G51" s="217"/>
      <c r="H51" s="219" t="n">
        <v>46387</v>
      </c>
      <c r="I51" s="214"/>
      <c r="J51" s="119"/>
      <c r="K51" s="119"/>
      <c r="L51" s="119"/>
      <c r="M51" s="119"/>
      <c r="N51" s="119"/>
      <c r="O51" s="119"/>
    </row>
    <row r="52" customFormat="false" ht="14.25" hidden="false" customHeight="true" outlineLevel="0" collapsed="false">
      <c r="A52" s="119"/>
      <c r="B52" s="120"/>
      <c r="C52" s="220" t="s">
        <v>241</v>
      </c>
      <c r="D52" s="220"/>
      <c r="E52" s="221" t="s">
        <v>242</v>
      </c>
      <c r="F52" s="217" t="s">
        <v>243</v>
      </c>
      <c r="G52" s="217"/>
      <c r="H52" s="222" t="n">
        <v>199086</v>
      </c>
      <c r="I52" s="214"/>
      <c r="J52" s="119"/>
      <c r="K52" s="119"/>
      <c r="L52" s="119"/>
      <c r="M52" s="119"/>
      <c r="N52" s="119"/>
      <c r="O52" s="119"/>
    </row>
    <row r="53" customFormat="false" ht="14.25" hidden="false" customHeight="true" outlineLevel="0" collapsed="false">
      <c r="A53" s="119"/>
      <c r="B53" s="120"/>
      <c r="C53" s="220"/>
      <c r="D53" s="220"/>
      <c r="E53" s="221"/>
      <c r="F53" s="221" t="s">
        <v>244</v>
      </c>
      <c r="G53" s="221"/>
      <c r="H53" s="223" t="n">
        <v>46223</v>
      </c>
      <c r="I53" s="214"/>
      <c r="J53" s="119"/>
      <c r="K53" s="119"/>
      <c r="L53" s="119"/>
      <c r="M53" s="119"/>
      <c r="N53" s="119"/>
      <c r="O53" s="119"/>
    </row>
    <row r="54" customFormat="false" ht="14.25" hidden="false" customHeight="false" outlineLevel="0" collapsed="false">
      <c r="A54" s="119"/>
      <c r="B54" s="120"/>
      <c r="C54" s="224" t="s">
        <v>245</v>
      </c>
      <c r="D54" s="224"/>
      <c r="E54" s="225"/>
      <c r="F54" s="226"/>
      <c r="G54" s="226"/>
      <c r="H54" s="227"/>
      <c r="I54" s="228"/>
      <c r="J54" s="119"/>
      <c r="K54" s="119"/>
      <c r="L54" s="119"/>
      <c r="M54" s="119"/>
      <c r="N54" s="119"/>
      <c r="O54" s="119"/>
    </row>
    <row r="55" customFormat="false" ht="14.25" hidden="false" customHeight="false" outlineLevel="0" collapsed="false">
      <c r="A55" s="119"/>
      <c r="B55" s="120"/>
      <c r="C55" s="127" t="s">
        <v>246</v>
      </c>
      <c r="D55" s="128"/>
      <c r="E55" s="128"/>
      <c r="F55" s="128"/>
      <c r="G55" s="128"/>
      <c r="H55" s="229"/>
      <c r="I55" s="225"/>
      <c r="J55" s="119"/>
      <c r="K55" s="119"/>
      <c r="L55" s="119"/>
      <c r="M55" s="119"/>
      <c r="N55" s="119"/>
      <c r="O55" s="119"/>
    </row>
    <row r="56" customFormat="false" ht="15" hidden="false" customHeight="false" outlineLevel="0" collapsed="false">
      <c r="A56" s="119"/>
      <c r="B56" s="120"/>
      <c r="C56" s="230" t="s">
        <v>247</v>
      </c>
      <c r="D56" s="231"/>
      <c r="E56" s="232"/>
      <c r="F56" s="233" t="s">
        <v>248</v>
      </c>
      <c r="G56" s="231"/>
      <c r="H56" s="234" t="s">
        <v>249</v>
      </c>
      <c r="I56" s="120"/>
      <c r="J56" s="119"/>
      <c r="K56" s="119"/>
      <c r="L56" s="119"/>
      <c r="M56" s="119"/>
      <c r="N56" s="119"/>
      <c r="O56" s="119"/>
    </row>
    <row r="57" customFormat="false" ht="14.25" hidden="false" customHeight="false" outlineLevel="0" collapsed="false">
      <c r="A57" s="119"/>
      <c r="B57" s="120"/>
      <c r="C57" s="235" t="s">
        <v>250</v>
      </c>
      <c r="D57" s="235"/>
      <c r="E57" s="235"/>
      <c r="F57" s="235"/>
      <c r="G57" s="235"/>
      <c r="H57" s="235"/>
      <c r="I57" s="120"/>
      <c r="J57" s="119"/>
      <c r="K57" s="119"/>
      <c r="L57" s="119"/>
      <c r="M57" s="119"/>
      <c r="N57" s="119"/>
      <c r="O57" s="119"/>
    </row>
    <row r="58" customFormat="false" ht="14.25" hidden="false" customHeight="false" outlineLevel="0" collapsed="false">
      <c r="A58" s="119"/>
      <c r="B58" s="119"/>
      <c r="C58" s="236" t="s">
        <v>251</v>
      </c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</row>
    <row r="59" customFormat="false" ht="14.25" hidden="false" customHeight="false" outlineLevel="0" collapsed="false">
      <c r="A59" s="119"/>
      <c r="B59" s="119"/>
      <c r="C59" s="237" t="s">
        <v>221</v>
      </c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</row>
    <row r="60" customFormat="false" ht="14.25" hidden="false" customHeight="false" outlineLevel="0" collapsed="false">
      <c r="A60" s="119"/>
      <c r="B60" s="119"/>
      <c r="C60" s="237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</row>
    <row r="61" customFormat="false" ht="14.25" hidden="false" customHeight="false" outlineLevel="0" collapsed="false">
      <c r="A61" s="119"/>
      <c r="B61" s="119"/>
      <c r="C61" s="237" t="s">
        <v>203</v>
      </c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</row>
    <row r="62" customFormat="false" ht="14.25" hidden="false" customHeight="false" outlineLevel="0" collapsed="false">
      <c r="A62" s="119"/>
      <c r="B62" s="119"/>
      <c r="C62" s="237" t="s">
        <v>252</v>
      </c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</row>
    <row r="63" customFormat="false" ht="14.25" hidden="false" customHeight="false" outlineLevel="0" collapsed="false">
      <c r="A63" s="119"/>
      <c r="B63" s="119"/>
      <c r="C63" s="237" t="s">
        <v>253</v>
      </c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</row>
    <row r="64" customFormat="false" ht="14.25" hidden="false" customHeight="false" outlineLevel="0" collapsed="false">
      <c r="A64" s="119"/>
      <c r="B64" s="119"/>
      <c r="C64" s="78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</row>
    <row r="65" customFormat="false" ht="14.25" hidden="false" customHeight="false" outlineLevel="0" collapsed="false">
      <c r="C65" s="238" t="n">
        <f aca="false">DATEVALUE(Contents!$C$64)</f>
        <v>46022</v>
      </c>
    </row>
  </sheetData>
  <sheetProtection algorithmName="SHA-512" hashValue="miFeKQmKsLdSulDvnP03GMnQh9KOfxmP2m4oy4TbSiB3FYWDA5ImBtC/UZmrkq0QvKlzYwooeBmy2ZWIJ4Q19g==" saltValue="pDT0iuti5ALZLSFbC3X0YQ==" spinCount="100000" sheet="true" objects="true" scenarios="true"/>
  <mergeCells count="53">
    <mergeCell ref="C3:H3"/>
    <mergeCell ref="C4:H4"/>
    <mergeCell ref="C6:H6"/>
    <mergeCell ref="C8:H8"/>
    <mergeCell ref="C9:H9"/>
    <mergeCell ref="C10:H10"/>
    <mergeCell ref="C11:H11"/>
    <mergeCell ref="C12:H12"/>
    <mergeCell ref="E13:H13"/>
    <mergeCell ref="E14:H14"/>
    <mergeCell ref="F15:G15"/>
    <mergeCell ref="F16:G16"/>
    <mergeCell ref="F17:H17"/>
    <mergeCell ref="C20:D20"/>
    <mergeCell ref="F20:G20"/>
    <mergeCell ref="C21:D21"/>
    <mergeCell ref="F21:G21"/>
    <mergeCell ref="C22:D22"/>
    <mergeCell ref="F22:G22"/>
    <mergeCell ref="C23:D23"/>
    <mergeCell ref="F23:G23"/>
    <mergeCell ref="F24:G24"/>
    <mergeCell ref="F35:G35"/>
    <mergeCell ref="G36:G37"/>
    <mergeCell ref="C38:E38"/>
    <mergeCell ref="G38:H38"/>
    <mergeCell ref="G39:H39"/>
    <mergeCell ref="E40:G40"/>
    <mergeCell ref="F41:G41"/>
    <mergeCell ref="C42:D43"/>
    <mergeCell ref="F42:G42"/>
    <mergeCell ref="F43:G43"/>
    <mergeCell ref="C44:D45"/>
    <mergeCell ref="E44:E45"/>
    <mergeCell ref="F44:G44"/>
    <mergeCell ref="F45:G45"/>
    <mergeCell ref="C46:D47"/>
    <mergeCell ref="E46:E47"/>
    <mergeCell ref="F46:G46"/>
    <mergeCell ref="F47:G47"/>
    <mergeCell ref="C48:D49"/>
    <mergeCell ref="E48:E49"/>
    <mergeCell ref="F48:G48"/>
    <mergeCell ref="F49:G49"/>
    <mergeCell ref="C50:D51"/>
    <mergeCell ref="E50:E51"/>
    <mergeCell ref="F50:G50"/>
    <mergeCell ref="F51:G51"/>
    <mergeCell ref="C52:D53"/>
    <mergeCell ref="E52:E53"/>
    <mergeCell ref="F52:G52"/>
    <mergeCell ref="F53:G53"/>
    <mergeCell ref="C57:H57"/>
  </mergeCells>
  <conditionalFormatting sqref="H36">
    <cfRule type="expression" priority="2" aboveAverage="0" equalAverage="0" bottom="0" percent="0" rank="0" text="" dxfId="8">
      <formula>AND(($H$36&lt;&gt;$H$37),OR(($H$19&lt;&gt;0),($H$36&lt;&gt;0),$H$24&lt;&gt;0,$H$35&lt;&gt;0))</formula>
    </cfRule>
  </conditionalFormatting>
  <conditionalFormatting sqref="F38">
    <cfRule type="expression" priority="3" aboveAverage="0" equalAverage="0" bottom="0" percent="0" rank="0" text="" dxfId="9">
      <formula>($H$38="X")</formula>
    </cfRule>
  </conditionalFormatting>
  <conditionalFormatting sqref="H53 H51 H45 H47:H49">
    <cfRule type="expression" priority="4" aboveAverage="0" equalAverage="0" bottom="0" percent="0" rank="0" text="" dxfId="10">
      <formula>IF(OR(ISBLANK($H45),ISBLANK($C$65)),0, IF($H45&lt;$C$65,1,0))</formula>
    </cfRule>
    <cfRule type="expression" priority="5" aboveAverage="0" equalAverage="0" bottom="0" percent="0" rank="0" text="" dxfId="11">
      <formula>IF(OR(ISBLANK($H45),ISBLANK($C$65)),0,IF(DATE(YEAR($H45),MONTH($H45)-2,DAY($H45))&lt;$C$65,1,0))</formula>
    </cfRule>
  </conditionalFormatting>
  <conditionalFormatting sqref="H43">
    <cfRule type="expression" priority="6" aboveAverage="0" equalAverage="0" bottom="0" percent="0" rank="0" text="" dxfId="12">
      <formula>IF(OR(ISBLANK($H43),$H43=0,ISBLANK($C$65)),0, IF($H43&lt;$C$65,1,0))</formula>
    </cfRule>
    <cfRule type="expression" priority="7" aboveAverage="0" equalAverage="0" bottom="0" percent="0" rank="0" text="" dxfId="13">
      <formula>IF(OR(ISBLANK($H43),ISBLANK($C$65)),0,IF(DATE(YEAR($H43),MONTH($H43)-2,DAY($H43))&lt;$C$65,1,0))</formula>
    </cfRule>
  </conditionalFormatting>
  <dataValidations count="9">
    <dataValidation allowBlank="true" error="Enter a date." errorStyle="stop" operator="greaterThan" showDropDown="false" showErrorMessage="true" showInputMessage="true" sqref="H16" type="date">
      <formula1>36526</formula1>
      <formula2>0</formula2>
    </dataValidation>
    <dataValidation allowBlank="true" errorStyle="stop" operator="between" showDropDown="false" showErrorMessage="true" showInputMessage="true" sqref="H15" type="list">
      <formula1>$C$61:$C$63</formula1>
      <formula2>0</formula2>
    </dataValidation>
    <dataValidation allowBlank="true" error="Enter a dollar amount greater than zero." errorStyle="stop" operator="greaterThan" showDropDown="false" showErrorMessage="true" showInputMessage="true" sqref="I20 I23:I35 I38:I39" type="decimal">
      <formula1>0</formula1>
      <formula2>0</formula2>
    </dataValidation>
    <dataValidation allowBlank="true" error="Enter a dollar amount greater than zero." errorStyle="stop" operator="greaterThanOrEqual" showDropDown="false" showErrorMessage="true" showInputMessage="true" sqref="H19 E21:E23 H21:H23 E27:E34 H27:H34" type="decimal">
      <formula1>0</formula1>
      <formula2>0</formula2>
    </dataValidation>
    <dataValidation allowBlank="true" error="Enter an amount greater than zero." errorStyle="stop" operator="greaterThan" showDropDown="false" showErrorMessage="true" showInputMessage="true" sqref="G38:G39 H41" type="none">
      <formula1>0</formula1>
      <formula2>0</formula2>
    </dataValidation>
    <dataValidation allowBlank="true" error="Enter the membership number." errorStyle="stop" operator="greaterThan" showDropDown="false" showErrorMessage="true" showInputMessage="true" sqref="H42" type="whole">
      <formula1>0</formula1>
      <formula2>0</formula2>
    </dataValidation>
    <dataValidation allowBlank="true" error="Please enter a valid date." errorStyle="stop" operator="greaterThan" showDropDown="false" showErrorMessage="true" showInputMessage="true" sqref="H43 H45 H47 H49 H51 H53" type="date">
      <formula1>36526</formula1>
      <formula2>0</formula2>
    </dataValidation>
    <dataValidation allowBlank="true" errorStyle="stop" operator="between" showDropDown="false" showErrorMessage="true" showInputMessage="true" sqref="F38" type="list">
      <formula1>$C$58:$C$59</formula1>
      <formula2>0</formula2>
    </dataValidation>
    <dataValidation allowBlank="true" error="Enter a dollar amount greater than zero." errorStyle="stop" operator="greaterThanOrEqual" showDropDown="false" showErrorMessage="true" showInputMessage="true" sqref="H37" type="none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6" activeCellId="0" sqref="D26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20.62"/>
    <col collapsed="false" customWidth="true" hidden="false" outlineLevel="0" max="7" min="4" style="1" width="18.38"/>
    <col collapsed="false" customWidth="true" hidden="false" outlineLevel="0" max="8" min="8" style="1" width="3.62"/>
    <col collapsed="false" customWidth="true" hidden="false" outlineLevel="0" max="9" min="9" style="1" width="13.62"/>
    <col collapsed="false" customWidth="true" hidden="false" outlineLevel="0" max="11" min="10" style="1" width="3.62"/>
    <col collapsed="false" customWidth="false" hidden="true" outlineLevel="0" max="15" min="12" style="1" width="9.1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239"/>
      <c r="B1" s="240"/>
      <c r="C1" s="240"/>
      <c r="D1" s="240"/>
      <c r="E1" s="240"/>
      <c r="F1" s="240"/>
      <c r="G1" s="240"/>
      <c r="H1" s="241"/>
      <c r="I1" s="240"/>
      <c r="J1" s="240"/>
      <c r="K1" s="240"/>
      <c r="L1" s="240"/>
      <c r="M1" s="240"/>
      <c r="N1" s="240"/>
      <c r="O1" s="240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240"/>
      <c r="B2" s="242"/>
      <c r="C2" s="81" t="str">
        <f aca="false">Contents!B59</f>
        <v>Version: AS L 6 LARGE locked LOCAL</v>
      </c>
      <c r="D2" s="243"/>
      <c r="E2" s="243"/>
      <c r="F2" s="243"/>
      <c r="G2" s="242"/>
      <c r="H2" s="242"/>
      <c r="I2" s="242"/>
      <c r="J2" s="242"/>
      <c r="K2" s="240"/>
      <c r="L2" s="240"/>
      <c r="M2" s="240"/>
      <c r="N2" s="240"/>
      <c r="O2" s="24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244"/>
      <c r="B3" s="245"/>
      <c r="C3" s="246" t="str">
        <f aca="false">Contents!$E$3</f>
        <v>THE SOCIETY FOR CREATIVE ANACHRONISM, INC.</v>
      </c>
      <c r="D3" s="246"/>
      <c r="E3" s="246"/>
      <c r="F3" s="246"/>
      <c r="G3" s="246"/>
      <c r="H3" s="246"/>
      <c r="I3" s="246"/>
      <c r="J3" s="245"/>
      <c r="K3" s="244"/>
      <c r="L3" s="244"/>
      <c r="M3" s="244"/>
      <c r="N3" s="244"/>
      <c r="O3" s="24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240"/>
      <c r="B4" s="245"/>
      <c r="C4" s="246" t="str">
        <f aca="false">Contents!$E$4</f>
        <v>FINANCIAL REPORT</v>
      </c>
      <c r="D4" s="246"/>
      <c r="E4" s="246"/>
      <c r="F4" s="246"/>
      <c r="G4" s="246"/>
      <c r="H4" s="246"/>
      <c r="I4" s="246"/>
      <c r="J4" s="245"/>
      <c r="K4" s="240"/>
      <c r="L4" s="240"/>
      <c r="M4" s="240"/>
      <c r="N4" s="240"/>
      <c r="O4" s="24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240"/>
      <c r="B5" s="242"/>
      <c r="C5" s="247"/>
      <c r="D5" s="247"/>
      <c r="E5" s="247"/>
      <c r="F5" s="247"/>
      <c r="G5" s="247"/>
      <c r="H5" s="247"/>
      <c r="I5" s="247"/>
      <c r="J5" s="242"/>
      <c r="K5" s="240"/>
      <c r="L5" s="240"/>
      <c r="M5" s="240"/>
      <c r="N5" s="240"/>
      <c r="O5" s="24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240"/>
      <c r="B6" s="242"/>
      <c r="C6" s="248" t="str">
        <f aca="false">Contents!B58</f>
        <v>Branch:   SCA, Inc.- Middle Kingdom                                               Period:  1/01/2025             to     12/31/2025            .</v>
      </c>
      <c r="D6" s="248"/>
      <c r="E6" s="248"/>
      <c r="F6" s="248"/>
      <c r="G6" s="248"/>
      <c r="H6" s="248"/>
      <c r="I6" s="248"/>
      <c r="J6" s="242"/>
      <c r="K6" s="240"/>
      <c r="L6" s="240"/>
      <c r="M6" s="240"/>
      <c r="N6" s="240"/>
      <c r="O6" s="240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240"/>
      <c r="B7" s="242"/>
      <c r="C7" s="247"/>
      <c r="D7" s="247"/>
      <c r="E7" s="247"/>
      <c r="F7" s="247"/>
      <c r="G7" s="247"/>
      <c r="H7" s="247"/>
      <c r="I7" s="247"/>
      <c r="J7" s="242"/>
      <c r="K7" s="240"/>
      <c r="L7" s="240"/>
      <c r="M7" s="240"/>
      <c r="N7" s="240"/>
      <c r="O7" s="24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240"/>
      <c r="B8" s="242"/>
      <c r="C8" s="249" t="s">
        <v>254</v>
      </c>
      <c r="D8" s="249"/>
      <c r="E8" s="249"/>
      <c r="F8" s="249"/>
      <c r="G8" s="249"/>
      <c r="H8" s="249"/>
      <c r="I8" s="249"/>
      <c r="J8" s="242"/>
      <c r="K8" s="240"/>
      <c r="L8" s="240"/>
      <c r="M8" s="240"/>
      <c r="N8" s="240"/>
      <c r="O8" s="240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240"/>
      <c r="B9" s="242"/>
      <c r="C9" s="242"/>
      <c r="D9" s="242"/>
      <c r="E9" s="242"/>
      <c r="F9" s="242"/>
      <c r="G9" s="242"/>
      <c r="H9" s="247"/>
      <c r="I9" s="242"/>
      <c r="J9" s="242"/>
      <c r="K9" s="240"/>
      <c r="L9" s="240"/>
      <c r="M9" s="240"/>
      <c r="N9" s="240"/>
      <c r="O9" s="24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4.25" hidden="false" customHeight="false" outlineLevel="0" collapsed="false">
      <c r="A10" s="240"/>
      <c r="B10" s="242"/>
      <c r="C10" s="250" t="s">
        <v>255</v>
      </c>
      <c r="D10" s="250"/>
      <c r="E10" s="250"/>
      <c r="F10" s="250"/>
      <c r="G10" s="250"/>
      <c r="H10" s="250"/>
      <c r="I10" s="250"/>
      <c r="J10" s="113"/>
      <c r="K10" s="240"/>
      <c r="L10" s="240"/>
      <c r="M10" s="240"/>
      <c r="N10" s="240"/>
      <c r="O10" s="24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false" outlineLevel="0" collapsed="false">
      <c r="A11" s="240"/>
      <c r="B11" s="242"/>
      <c r="C11" s="250" t="s">
        <v>256</v>
      </c>
      <c r="D11" s="250"/>
      <c r="E11" s="250"/>
      <c r="F11" s="250"/>
      <c r="G11" s="250"/>
      <c r="H11" s="250"/>
      <c r="I11" s="250"/>
      <c r="J11" s="113"/>
      <c r="K11" s="240"/>
      <c r="L11" s="240"/>
      <c r="M11" s="240"/>
      <c r="N11" s="240"/>
      <c r="O11" s="24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false" outlineLevel="0" collapsed="false">
      <c r="A12" s="240"/>
      <c r="B12" s="242"/>
      <c r="C12" s="251" t="s">
        <v>257</v>
      </c>
      <c r="D12" s="251"/>
      <c r="E12" s="251"/>
      <c r="F12" s="251"/>
      <c r="G12" s="251"/>
      <c r="H12" s="251"/>
      <c r="I12" s="251"/>
      <c r="J12" s="113"/>
      <c r="K12" s="240"/>
      <c r="L12" s="240"/>
      <c r="M12" s="240"/>
      <c r="N12" s="240"/>
      <c r="O12" s="240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false" outlineLevel="0" collapsed="false">
      <c r="A13" s="240"/>
      <c r="B13" s="242"/>
      <c r="C13" s="252" t="s">
        <v>258</v>
      </c>
      <c r="D13" s="253" t="s">
        <v>259</v>
      </c>
      <c r="E13" s="253"/>
      <c r="F13" s="253"/>
      <c r="G13" s="253"/>
      <c r="H13" s="254"/>
      <c r="I13" s="255"/>
      <c r="J13" s="242"/>
      <c r="K13" s="240"/>
      <c r="L13" s="240"/>
      <c r="M13" s="240"/>
      <c r="N13" s="240"/>
      <c r="O13" s="24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false" outlineLevel="0" collapsed="false">
      <c r="A14" s="240"/>
      <c r="B14" s="242"/>
      <c r="C14" s="256" t="s">
        <v>260</v>
      </c>
      <c r="D14" s="257" t="s">
        <v>261</v>
      </c>
      <c r="E14" s="257"/>
      <c r="F14" s="257"/>
      <c r="G14" s="257"/>
      <c r="H14" s="258"/>
      <c r="I14" s="259"/>
      <c r="J14" s="242"/>
      <c r="K14" s="240"/>
      <c r="L14" s="240"/>
      <c r="M14" s="240"/>
      <c r="N14" s="240"/>
      <c r="O14" s="24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240"/>
      <c r="B15" s="242"/>
      <c r="C15" s="256" t="s">
        <v>262</v>
      </c>
      <c r="D15" s="260" t="s">
        <v>203</v>
      </c>
      <c r="E15" s="260" t="s">
        <v>203</v>
      </c>
      <c r="F15" s="260" t="s">
        <v>203</v>
      </c>
      <c r="G15" s="260" t="s">
        <v>203</v>
      </c>
      <c r="H15" s="258"/>
      <c r="I15" s="259"/>
      <c r="J15" s="242"/>
      <c r="K15" s="240"/>
      <c r="L15" s="240"/>
      <c r="M15" s="240"/>
      <c r="N15" s="240"/>
      <c r="O15" s="24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false" outlineLevel="0" collapsed="false">
      <c r="A16" s="240"/>
      <c r="B16" s="242"/>
      <c r="C16" s="261" t="s">
        <v>263</v>
      </c>
      <c r="D16" s="262" t="s">
        <v>264</v>
      </c>
      <c r="E16" s="262"/>
      <c r="F16" s="262"/>
      <c r="G16" s="262"/>
      <c r="H16" s="258"/>
      <c r="I16" s="259"/>
      <c r="J16" s="242"/>
      <c r="K16" s="240"/>
      <c r="L16" s="240"/>
      <c r="M16" s="240"/>
      <c r="N16" s="240"/>
      <c r="O16" s="24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A17" s="240"/>
      <c r="B17" s="242"/>
      <c r="C17" s="263" t="s">
        <v>265</v>
      </c>
      <c r="D17" s="262" t="s">
        <v>251</v>
      </c>
      <c r="E17" s="262"/>
      <c r="F17" s="262"/>
      <c r="G17" s="262"/>
      <c r="H17" s="258" t="s">
        <v>266</v>
      </c>
      <c r="I17" s="259"/>
      <c r="J17" s="242"/>
      <c r="K17" s="240"/>
      <c r="L17" s="240"/>
      <c r="M17" s="240"/>
      <c r="N17" s="240"/>
      <c r="O17" s="24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A18" s="240"/>
      <c r="B18" s="242"/>
      <c r="C18" s="264" t="s">
        <v>267</v>
      </c>
      <c r="D18" s="265" t="n">
        <v>46022</v>
      </c>
      <c r="E18" s="265"/>
      <c r="F18" s="265"/>
      <c r="G18" s="265"/>
      <c r="H18" s="258" t="s">
        <v>266</v>
      </c>
      <c r="I18" s="259"/>
      <c r="J18" s="242"/>
      <c r="K18" s="240"/>
      <c r="L18" s="240"/>
      <c r="M18" s="240"/>
      <c r="N18" s="240"/>
      <c r="O18" s="240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23.9" hidden="false" customHeight="false" outlineLevel="0" collapsed="false">
      <c r="A19" s="240"/>
      <c r="B19" s="242"/>
      <c r="C19" s="266" t="s">
        <v>268</v>
      </c>
      <c r="D19" s="267" t="n">
        <v>165546.18</v>
      </c>
      <c r="E19" s="267"/>
      <c r="F19" s="267"/>
      <c r="G19" s="267"/>
      <c r="H19" s="268" t="s">
        <v>269</v>
      </c>
      <c r="I19" s="269" t="str">
        <f aca="false">Contents!$C$14</f>
        <v>USD $</v>
      </c>
      <c r="J19" s="242"/>
      <c r="K19" s="240"/>
      <c r="L19" s="240"/>
      <c r="M19" s="240"/>
      <c r="N19" s="240"/>
      <c r="O19" s="240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23.9" hidden="false" customHeight="false" outlineLevel="0" collapsed="false">
      <c r="A20" s="240"/>
      <c r="B20" s="242"/>
      <c r="C20" s="270" t="s">
        <v>270</v>
      </c>
      <c r="D20" s="271"/>
      <c r="E20" s="271"/>
      <c r="F20" s="271"/>
      <c r="G20" s="271"/>
      <c r="H20" s="272" t="s">
        <v>271</v>
      </c>
      <c r="I20" s="269"/>
      <c r="J20" s="242"/>
      <c r="K20" s="240"/>
      <c r="L20" s="240"/>
      <c r="M20" s="240"/>
      <c r="N20" s="240"/>
      <c r="O20" s="240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23.9" hidden="false" customHeight="false" outlineLevel="0" collapsed="false">
      <c r="A21" s="240"/>
      <c r="B21" s="242"/>
      <c r="C21" s="273" t="s">
        <v>272</v>
      </c>
      <c r="D21" s="274"/>
      <c r="E21" s="274"/>
      <c r="F21" s="274"/>
      <c r="G21" s="274"/>
      <c r="H21" s="275" t="s">
        <v>273</v>
      </c>
      <c r="I21" s="269"/>
      <c r="J21" s="242"/>
      <c r="K21" s="240"/>
      <c r="L21" s="240"/>
      <c r="M21" s="240"/>
      <c r="N21" s="240"/>
      <c r="O21" s="240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35" hidden="false" customHeight="false" outlineLevel="0" collapsed="false">
      <c r="A22" s="240"/>
      <c r="B22" s="242"/>
      <c r="C22" s="276" t="s">
        <v>274</v>
      </c>
      <c r="D22" s="277" t="n">
        <f aca="false">IF(AND(D$17&lt;&gt;"YES",D$18&lt;&gt;"",D$19&gt;0),D$19+D$20-D$21,0)</f>
        <v>0</v>
      </c>
      <c r="E22" s="277" t="n">
        <f aca="false">IF(AND(E$17&lt;&gt;"YES",E$18&lt;&gt;"",E$19&gt;0),E$19+E$20-E$21,0)</f>
        <v>0</v>
      </c>
      <c r="F22" s="277" t="n">
        <f aca="false">IF(AND(F$17&lt;&gt;"YES",F$18&lt;&gt;"",F$19&gt;0),F$19+F$20-F$21,0)</f>
        <v>0</v>
      </c>
      <c r="G22" s="277" t="n">
        <f aca="false">IF(AND(G$17&lt;&gt;"YES",G$18&lt;&gt;"",G$19&gt;0),G$19+G$20-G$21,0)</f>
        <v>0</v>
      </c>
      <c r="H22" s="278" t="s">
        <v>275</v>
      </c>
      <c r="I22" s="279" t="n">
        <f aca="false">IF(D22=D25,D22,0)+IF(E22=E25,E22,0)+IF(F22=F25,F22,0)+IF(G22=G25,G22,0)</f>
        <v>0</v>
      </c>
      <c r="J22" s="242"/>
      <c r="K22" s="240"/>
      <c r="L22" s="240"/>
      <c r="M22" s="240"/>
      <c r="N22" s="240"/>
      <c r="O22" s="240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35" hidden="false" customHeight="false" outlineLevel="0" collapsed="false">
      <c r="A23" s="240"/>
      <c r="B23" s="242"/>
      <c r="C23" s="280" t="s">
        <v>276</v>
      </c>
      <c r="D23" s="281" t="n">
        <f aca="false">IF(AND(D$17="YES",D$18&lt;&gt;"",D$19&gt;0),D$19+D$20-D$21,0)</f>
        <v>165546.18</v>
      </c>
      <c r="E23" s="281" t="n">
        <f aca="false">IF(AND(E$17="YES",E$18&lt;&gt;"",E$19&gt;0),E$19+E$20-E$21,0)</f>
        <v>0</v>
      </c>
      <c r="F23" s="281" t="n">
        <f aca="false">IF(AND(F$17="YES",F$18&lt;&gt;"",F$19&gt;0),F$19+F$20-F$21,0)</f>
        <v>0</v>
      </c>
      <c r="G23" s="281" t="n">
        <f aca="false">IF(AND(G$17="YES",G$18&lt;&gt;"",G$19&gt;0),G$19+G$20-G$21,0)</f>
        <v>0</v>
      </c>
      <c r="H23" s="282" t="s">
        <v>277</v>
      </c>
      <c r="I23" s="283" t="n">
        <f aca="false">IF(D23=D25,D23,0)+IF(E23=E25,E23,0)+IF(F23=F25,F23,0)+IF(G23=G25,G23,0)</f>
        <v>165546.18</v>
      </c>
      <c r="J23" s="242"/>
      <c r="K23" s="240"/>
      <c r="L23" s="240"/>
      <c r="M23" s="240"/>
      <c r="N23" s="240"/>
      <c r="O23" s="240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4.25" hidden="false" customHeight="false" outlineLevel="0" collapsed="false">
      <c r="A24" s="240"/>
      <c r="B24" s="242"/>
      <c r="C24" s="284"/>
      <c r="D24" s="285" t="s">
        <v>278</v>
      </c>
      <c r="E24" s="285"/>
      <c r="F24" s="285"/>
      <c r="G24" s="285"/>
      <c r="H24" s="286"/>
      <c r="I24" s="286"/>
      <c r="J24" s="242"/>
      <c r="K24" s="240"/>
      <c r="L24" s="240"/>
      <c r="M24" s="240"/>
      <c r="N24" s="240"/>
      <c r="O24" s="240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23.9" hidden="false" customHeight="false" outlineLevel="0" collapsed="false">
      <c r="A25" s="240"/>
      <c r="B25" s="242"/>
      <c r="C25" s="276" t="s">
        <v>279</v>
      </c>
      <c r="D25" s="287" t="n">
        <v>165546.18</v>
      </c>
      <c r="E25" s="287"/>
      <c r="F25" s="287"/>
      <c r="G25" s="287"/>
      <c r="H25" s="286"/>
      <c r="I25" s="286"/>
      <c r="J25" s="242"/>
      <c r="K25" s="240"/>
      <c r="L25" s="240"/>
      <c r="M25" s="240"/>
      <c r="N25" s="240"/>
      <c r="O25" s="240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4.25" hidden="false" customHeight="false" outlineLevel="0" collapsed="false">
      <c r="A26" s="240"/>
      <c r="B26" s="242"/>
      <c r="C26" s="288"/>
      <c r="D26" s="285" t="s">
        <v>280</v>
      </c>
      <c r="E26" s="285"/>
      <c r="F26" s="285"/>
      <c r="G26" s="285"/>
      <c r="H26" s="286"/>
      <c r="I26" s="286"/>
      <c r="J26" s="242"/>
      <c r="K26" s="240"/>
      <c r="L26" s="240"/>
      <c r="M26" s="240"/>
      <c r="N26" s="240"/>
      <c r="O26" s="240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false" outlineLevel="0" collapsed="false">
      <c r="A27" s="240"/>
      <c r="B27" s="242"/>
      <c r="C27" s="289" t="s">
        <v>281</v>
      </c>
      <c r="D27" s="290"/>
      <c r="E27" s="290"/>
      <c r="F27" s="290"/>
      <c r="G27" s="290"/>
      <c r="H27" s="291" t="n">
        <v>1</v>
      </c>
      <c r="I27" s="292"/>
      <c r="J27" s="242"/>
      <c r="K27" s="240"/>
      <c r="L27" s="240"/>
      <c r="M27" s="240"/>
      <c r="N27" s="240"/>
      <c r="O27" s="240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A28" s="240"/>
      <c r="B28" s="242"/>
      <c r="C28" s="293" t="s">
        <v>282</v>
      </c>
      <c r="D28" s="294"/>
      <c r="E28" s="294"/>
      <c r="F28" s="294"/>
      <c r="G28" s="294"/>
      <c r="H28" s="291"/>
      <c r="I28" s="292"/>
      <c r="J28" s="242"/>
      <c r="K28" s="240"/>
      <c r="L28" s="240"/>
      <c r="M28" s="240"/>
      <c r="N28" s="240"/>
      <c r="O28" s="240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A29" s="240"/>
      <c r="B29" s="242"/>
      <c r="C29" s="295" t="s">
        <v>283</v>
      </c>
      <c r="D29" s="296"/>
      <c r="E29" s="296"/>
      <c r="F29" s="296"/>
      <c r="G29" s="296"/>
      <c r="H29" s="291"/>
      <c r="I29" s="292"/>
      <c r="J29" s="242"/>
      <c r="K29" s="240"/>
      <c r="L29" s="240"/>
      <c r="M29" s="240"/>
      <c r="N29" s="240"/>
      <c r="O29" s="240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4.25" hidden="false" customHeight="false" outlineLevel="0" collapsed="false">
      <c r="A30" s="240"/>
      <c r="B30" s="242"/>
      <c r="C30" s="289" t="s">
        <v>281</v>
      </c>
      <c r="D30" s="290" t="s">
        <v>11</v>
      </c>
      <c r="E30" s="290"/>
      <c r="F30" s="290"/>
      <c r="G30" s="290"/>
      <c r="H30" s="291" t="n">
        <v>2</v>
      </c>
      <c r="I30" s="292"/>
      <c r="J30" s="242"/>
      <c r="K30" s="240"/>
      <c r="L30" s="240"/>
      <c r="M30" s="240"/>
      <c r="N30" s="240"/>
      <c r="O30" s="240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14.25" hidden="false" customHeight="false" outlineLevel="0" collapsed="false">
      <c r="A31" s="240"/>
      <c r="B31" s="242"/>
      <c r="C31" s="293" t="s">
        <v>282</v>
      </c>
      <c r="D31" s="294" t="n">
        <v>98356</v>
      </c>
      <c r="E31" s="294"/>
      <c r="F31" s="294"/>
      <c r="G31" s="294"/>
      <c r="H31" s="291"/>
      <c r="I31" s="292"/>
      <c r="J31" s="242"/>
      <c r="K31" s="240"/>
      <c r="L31" s="240"/>
      <c r="M31" s="240"/>
      <c r="N31" s="240"/>
      <c r="O31" s="240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A32" s="240"/>
      <c r="B32" s="242"/>
      <c r="C32" s="295" t="s">
        <v>283</v>
      </c>
      <c r="D32" s="296" t="n">
        <v>46173</v>
      </c>
      <c r="E32" s="296"/>
      <c r="F32" s="296"/>
      <c r="G32" s="296"/>
      <c r="H32" s="291"/>
      <c r="I32" s="292"/>
      <c r="J32" s="242"/>
      <c r="K32" s="240"/>
      <c r="L32" s="240"/>
      <c r="M32" s="240"/>
      <c r="N32" s="240"/>
      <c r="O32" s="240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A33" s="240"/>
      <c r="B33" s="242"/>
      <c r="C33" s="289" t="s">
        <v>281</v>
      </c>
      <c r="D33" s="290" t="s">
        <v>234</v>
      </c>
      <c r="E33" s="290"/>
      <c r="F33" s="290"/>
      <c r="G33" s="290"/>
      <c r="H33" s="291" t="n">
        <v>3</v>
      </c>
      <c r="I33" s="292"/>
      <c r="J33" s="242"/>
      <c r="K33" s="240"/>
      <c r="L33" s="240"/>
      <c r="M33" s="240"/>
      <c r="N33" s="240"/>
      <c r="O33" s="240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A34" s="240"/>
      <c r="B34" s="242"/>
      <c r="C34" s="293" t="s">
        <v>282</v>
      </c>
      <c r="D34" s="294" t="n">
        <v>8279</v>
      </c>
      <c r="E34" s="294"/>
      <c r="F34" s="294"/>
      <c r="G34" s="294"/>
      <c r="H34" s="291"/>
      <c r="I34" s="292"/>
      <c r="J34" s="242"/>
      <c r="K34" s="240"/>
      <c r="L34" s="240"/>
      <c r="M34" s="240"/>
      <c r="N34" s="240"/>
      <c r="O34" s="240"/>
      <c r="P34" s="79" t="s">
        <v>79</v>
      </c>
      <c r="Q34" s="78"/>
      <c r="R34" s="78"/>
      <c r="S34" s="78"/>
      <c r="T34" s="79" t="s">
        <v>87</v>
      </c>
    </row>
    <row r="35" customFormat="false" ht="14.25" hidden="false" customHeight="false" outlineLevel="0" collapsed="false">
      <c r="A35" s="240"/>
      <c r="B35" s="242"/>
      <c r="C35" s="295" t="s">
        <v>283</v>
      </c>
      <c r="D35" s="296" t="n">
        <v>46447</v>
      </c>
      <c r="E35" s="296"/>
      <c r="F35" s="296"/>
      <c r="G35" s="296"/>
      <c r="H35" s="291"/>
      <c r="I35" s="292"/>
      <c r="J35" s="242"/>
      <c r="K35" s="240"/>
      <c r="L35" s="240"/>
      <c r="M35" s="240"/>
      <c r="N35" s="240"/>
      <c r="O35" s="240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A36" s="240"/>
      <c r="B36" s="242"/>
      <c r="C36" s="289" t="s">
        <v>281</v>
      </c>
      <c r="D36" s="290" t="s">
        <v>183</v>
      </c>
      <c r="E36" s="290"/>
      <c r="F36" s="290"/>
      <c r="G36" s="290"/>
      <c r="H36" s="291" t="n">
        <v>4</v>
      </c>
      <c r="I36" s="292"/>
      <c r="J36" s="242"/>
      <c r="K36" s="240"/>
      <c r="L36" s="240"/>
      <c r="M36" s="240"/>
      <c r="N36" s="240"/>
      <c r="O36" s="240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A37" s="240"/>
      <c r="B37" s="242"/>
      <c r="C37" s="293" t="s">
        <v>282</v>
      </c>
      <c r="D37" s="294" t="n">
        <v>127116</v>
      </c>
      <c r="E37" s="294"/>
      <c r="F37" s="294"/>
      <c r="G37" s="294"/>
      <c r="H37" s="291"/>
      <c r="I37" s="292"/>
      <c r="J37" s="242"/>
      <c r="K37" s="240"/>
      <c r="L37" s="240"/>
      <c r="M37" s="240"/>
      <c r="N37" s="240"/>
      <c r="O37" s="240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A38" s="240"/>
      <c r="B38" s="242"/>
      <c r="C38" s="295" t="s">
        <v>283</v>
      </c>
      <c r="D38" s="296" t="n">
        <v>46418</v>
      </c>
      <c r="E38" s="296"/>
      <c r="F38" s="296"/>
      <c r="G38" s="296"/>
      <c r="H38" s="291"/>
      <c r="I38" s="292"/>
      <c r="J38" s="242"/>
      <c r="K38" s="240"/>
      <c r="L38" s="240"/>
      <c r="M38" s="240"/>
      <c r="N38" s="240"/>
      <c r="O38" s="240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A39" s="240"/>
      <c r="B39" s="242"/>
      <c r="C39" s="289" t="s">
        <v>281</v>
      </c>
      <c r="D39" s="290" t="s">
        <v>14</v>
      </c>
      <c r="E39" s="290"/>
      <c r="F39" s="290"/>
      <c r="G39" s="290"/>
      <c r="H39" s="291" t="n">
        <v>5</v>
      </c>
      <c r="I39" s="292"/>
      <c r="J39" s="242"/>
      <c r="K39" s="240"/>
      <c r="L39" s="240"/>
      <c r="M39" s="240"/>
      <c r="N39" s="240"/>
      <c r="O39" s="240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A40" s="240"/>
      <c r="B40" s="242"/>
      <c r="C40" s="293" t="s">
        <v>282</v>
      </c>
      <c r="D40" s="294" t="n">
        <v>60041</v>
      </c>
      <c r="E40" s="294"/>
      <c r="F40" s="294"/>
      <c r="G40" s="294"/>
      <c r="H40" s="291"/>
      <c r="I40" s="292"/>
      <c r="J40" s="242"/>
      <c r="K40" s="240"/>
      <c r="L40" s="240"/>
      <c r="M40" s="240"/>
      <c r="N40" s="240"/>
      <c r="O40" s="240"/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A41" s="240"/>
      <c r="B41" s="242"/>
      <c r="C41" s="295" t="s">
        <v>283</v>
      </c>
      <c r="D41" s="296" t="n">
        <v>46387</v>
      </c>
      <c r="E41" s="296"/>
      <c r="F41" s="296"/>
      <c r="G41" s="296"/>
      <c r="H41" s="291"/>
      <c r="I41" s="292"/>
      <c r="J41" s="242"/>
      <c r="K41" s="240"/>
      <c r="L41" s="240"/>
      <c r="M41" s="240"/>
      <c r="N41" s="240"/>
      <c r="O41" s="240"/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A42" s="240"/>
      <c r="B42" s="242"/>
      <c r="C42" s="289" t="s">
        <v>281</v>
      </c>
      <c r="D42" s="290" t="s">
        <v>242</v>
      </c>
      <c r="E42" s="290"/>
      <c r="F42" s="290"/>
      <c r="G42" s="290"/>
      <c r="H42" s="297" t="n">
        <v>6</v>
      </c>
      <c r="I42" s="292"/>
      <c r="J42" s="242"/>
      <c r="K42" s="240"/>
      <c r="L42" s="240"/>
      <c r="M42" s="240"/>
      <c r="N42" s="240"/>
      <c r="O42" s="240"/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A43" s="240"/>
      <c r="B43" s="242"/>
      <c r="C43" s="293" t="s">
        <v>282</v>
      </c>
      <c r="D43" s="294" t="n">
        <v>199086</v>
      </c>
      <c r="E43" s="294"/>
      <c r="F43" s="294"/>
      <c r="G43" s="294"/>
      <c r="H43" s="297"/>
      <c r="I43" s="292"/>
      <c r="J43" s="242"/>
      <c r="K43" s="240"/>
      <c r="L43" s="240"/>
      <c r="M43" s="240"/>
      <c r="N43" s="240"/>
      <c r="O43" s="240"/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A44" s="240"/>
      <c r="B44" s="242"/>
      <c r="C44" s="298" t="s">
        <v>283</v>
      </c>
      <c r="D44" s="299" t="n">
        <v>45869</v>
      </c>
      <c r="E44" s="299"/>
      <c r="F44" s="299"/>
      <c r="G44" s="299"/>
      <c r="H44" s="297"/>
      <c r="I44" s="292"/>
      <c r="J44" s="242"/>
      <c r="K44" s="240"/>
      <c r="L44" s="240"/>
      <c r="M44" s="240"/>
      <c r="N44" s="240"/>
      <c r="O44" s="240"/>
      <c r="P44" s="78"/>
      <c r="Q44" s="78"/>
      <c r="R44" s="78"/>
      <c r="S44" s="78"/>
      <c r="T44" s="78"/>
    </row>
    <row r="45" customFormat="false" ht="14.25" hidden="false" customHeight="false" outlineLevel="0" collapsed="false">
      <c r="A45" s="240"/>
      <c r="B45" s="242"/>
      <c r="C45" s="300" t="s">
        <v>284</v>
      </c>
      <c r="D45" s="300"/>
      <c r="E45" s="300"/>
      <c r="F45" s="300"/>
      <c r="G45" s="300"/>
      <c r="H45" s="300"/>
      <c r="I45" s="300"/>
      <c r="J45" s="242"/>
      <c r="K45" s="240"/>
      <c r="L45" s="240"/>
      <c r="M45" s="240"/>
      <c r="N45" s="240"/>
      <c r="O45" s="240"/>
      <c r="P45" s="78"/>
      <c r="Q45" s="78"/>
      <c r="R45" s="78"/>
      <c r="S45" s="78"/>
      <c r="T45" s="78"/>
    </row>
    <row r="46" customFormat="false" ht="14.25" hidden="false" customHeight="false" outlineLevel="0" collapsed="false">
      <c r="A46" s="240"/>
      <c r="B46" s="242"/>
      <c r="C46" s="301" t="s">
        <v>285</v>
      </c>
      <c r="D46" s="301"/>
      <c r="E46" s="301"/>
      <c r="F46" s="301"/>
      <c r="G46" s="301"/>
      <c r="H46" s="301"/>
      <c r="I46" s="301"/>
      <c r="J46" s="242"/>
      <c r="K46" s="240"/>
      <c r="L46" s="240"/>
      <c r="M46" s="240"/>
      <c r="N46" s="240"/>
      <c r="O46" s="240"/>
      <c r="Q46" s="78"/>
      <c r="R46" s="78"/>
      <c r="S46" s="78"/>
      <c r="T46" s="78"/>
    </row>
    <row r="47" customFormat="false" ht="14.25" hidden="false" customHeight="false" outlineLevel="0" collapsed="false">
      <c r="A47" s="240"/>
      <c r="B47" s="240"/>
      <c r="C47" s="302" t="s">
        <v>203</v>
      </c>
      <c r="D47" s="302" t="s">
        <v>201</v>
      </c>
      <c r="E47" s="302" t="s">
        <v>251</v>
      </c>
      <c r="F47" s="240"/>
      <c r="G47" s="240"/>
      <c r="H47" s="241"/>
      <c r="I47" s="240"/>
      <c r="J47" s="240"/>
      <c r="K47" s="240"/>
      <c r="L47" s="240"/>
      <c r="M47" s="240"/>
      <c r="N47" s="240"/>
      <c r="O47" s="240"/>
      <c r="Q47" s="78"/>
      <c r="R47" s="78"/>
      <c r="S47" s="78"/>
      <c r="T47" s="78"/>
    </row>
    <row r="48" customFormat="false" ht="14.25" hidden="false" customHeight="false" outlineLevel="0" collapsed="false">
      <c r="A48" s="240"/>
      <c r="B48" s="240"/>
      <c r="C48" s="302" t="s">
        <v>252</v>
      </c>
      <c r="D48" s="302" t="s">
        <v>264</v>
      </c>
      <c r="E48" s="302" t="s">
        <v>221</v>
      </c>
      <c r="F48" s="240"/>
      <c r="G48" s="240"/>
      <c r="H48" s="241"/>
      <c r="I48" s="240"/>
      <c r="J48" s="240"/>
      <c r="K48" s="240"/>
      <c r="L48" s="240"/>
      <c r="M48" s="240"/>
      <c r="N48" s="240"/>
      <c r="O48" s="240"/>
      <c r="S48" s="78"/>
    </row>
    <row r="49" customFormat="false" ht="14.25" hidden="false" customHeight="false" outlineLevel="0" collapsed="false">
      <c r="A49" s="240"/>
      <c r="B49" s="240"/>
      <c r="C49" s="302" t="s">
        <v>253</v>
      </c>
      <c r="D49" s="302" t="s">
        <v>286</v>
      </c>
      <c r="E49" s="302"/>
      <c r="F49" s="240"/>
      <c r="G49" s="240"/>
      <c r="H49" s="241"/>
      <c r="I49" s="240"/>
      <c r="J49" s="240"/>
      <c r="K49" s="240"/>
      <c r="L49" s="240"/>
      <c r="M49" s="240"/>
      <c r="N49" s="240"/>
      <c r="O49" s="240"/>
      <c r="S49" s="78"/>
    </row>
    <row r="50" customFormat="false" ht="14.25" hidden="false" customHeight="false" outlineLevel="0" collapsed="false">
      <c r="A50" s="240"/>
      <c r="B50" s="240"/>
      <c r="C50" s="302"/>
      <c r="D50" s="302" t="s">
        <v>287</v>
      </c>
      <c r="E50" s="302"/>
      <c r="F50" s="240"/>
      <c r="G50" s="240"/>
      <c r="H50" s="241"/>
      <c r="I50" s="240"/>
      <c r="J50" s="240"/>
      <c r="K50" s="240"/>
      <c r="L50" s="240"/>
      <c r="M50" s="240"/>
      <c r="N50" s="240"/>
      <c r="O50" s="240"/>
    </row>
    <row r="51" customFormat="false" ht="14.25" hidden="false" customHeight="false" outlineLevel="0" collapsed="false">
      <c r="A51" s="240"/>
      <c r="B51" s="240"/>
      <c r="C51" s="302"/>
      <c r="D51" s="302" t="s">
        <v>253</v>
      </c>
      <c r="E51" s="302"/>
      <c r="F51" s="240"/>
      <c r="G51" s="240"/>
      <c r="H51" s="241"/>
      <c r="I51" s="240"/>
      <c r="J51" s="240"/>
      <c r="K51" s="240"/>
      <c r="L51" s="240"/>
      <c r="M51" s="240"/>
      <c r="N51" s="240"/>
      <c r="O51" s="240"/>
    </row>
    <row r="52" customFormat="false" ht="14.25" hidden="false" customHeight="false" outlineLevel="0" collapsed="false">
      <c r="A52" s="240"/>
      <c r="B52" s="240"/>
      <c r="C52" s="240"/>
      <c r="D52" s="303"/>
      <c r="E52" s="240"/>
      <c r="F52" s="240"/>
      <c r="G52" s="240"/>
      <c r="H52" s="241"/>
      <c r="I52" s="240"/>
      <c r="J52" s="240"/>
      <c r="K52" s="240"/>
      <c r="L52" s="240"/>
      <c r="M52" s="240"/>
      <c r="N52" s="240"/>
      <c r="O52" s="240"/>
    </row>
    <row r="53" customFormat="false" ht="14.25" hidden="false" customHeight="false" outlineLevel="0" collapsed="false">
      <c r="A53" s="240"/>
      <c r="B53" s="240"/>
      <c r="C53" s="240"/>
      <c r="D53" s="240"/>
      <c r="E53" s="240"/>
      <c r="F53" s="240"/>
      <c r="G53" s="240"/>
      <c r="H53" s="241"/>
      <c r="I53" s="240"/>
      <c r="J53" s="240"/>
      <c r="K53" s="240"/>
      <c r="L53" s="240"/>
      <c r="M53" s="240"/>
      <c r="N53" s="240"/>
      <c r="O53" s="240"/>
    </row>
    <row r="54" customFormat="false" ht="14.25" hidden="false" customHeight="false" outlineLevel="0" collapsed="false">
      <c r="A54" s="240"/>
      <c r="B54" s="240"/>
      <c r="C54" s="240"/>
      <c r="D54" s="240"/>
      <c r="E54" s="240"/>
      <c r="F54" s="240"/>
      <c r="G54" s="240"/>
      <c r="H54" s="241"/>
      <c r="I54" s="240"/>
      <c r="J54" s="240"/>
      <c r="K54" s="240"/>
      <c r="L54" s="240"/>
      <c r="M54" s="240"/>
      <c r="N54" s="240"/>
      <c r="O54" s="240"/>
    </row>
    <row r="55" customFormat="false" ht="14.25" hidden="false" customHeight="false" outlineLevel="0" collapsed="false">
      <c r="A55" s="240"/>
      <c r="B55" s="240"/>
      <c r="C55" s="240"/>
      <c r="D55" s="240"/>
      <c r="E55" s="240"/>
      <c r="F55" s="240"/>
      <c r="G55" s="240"/>
      <c r="H55" s="241"/>
      <c r="I55" s="240"/>
      <c r="J55" s="240"/>
      <c r="K55" s="240"/>
      <c r="L55" s="240"/>
      <c r="M55" s="240"/>
      <c r="N55" s="240"/>
      <c r="O55" s="240"/>
    </row>
    <row r="56" customFormat="false" ht="14.25" hidden="false" customHeight="false" outlineLevel="0" collapsed="false">
      <c r="A56" s="240"/>
      <c r="B56" s="240"/>
      <c r="C56" s="240"/>
      <c r="D56" s="240"/>
      <c r="E56" s="240"/>
      <c r="F56" s="240"/>
      <c r="G56" s="240"/>
      <c r="H56" s="241"/>
      <c r="I56" s="240"/>
      <c r="J56" s="240"/>
      <c r="K56" s="240"/>
      <c r="L56" s="240"/>
      <c r="M56" s="240"/>
      <c r="N56" s="240"/>
      <c r="O56" s="240"/>
    </row>
    <row r="63" customFormat="false" ht="14.25" hidden="false" customHeight="false" outlineLevel="0" collapsed="false">
      <c r="C63" s="302" t="n">
        <f aca="false">DATEVALUE(Contents!$C$64)</f>
        <v>46022</v>
      </c>
    </row>
  </sheetData>
  <sheetProtection algorithmName="SHA-512" hashValue="GiNWwEspKKiKCiS1YO6d+xn9lGi6o3sqpxcfue7s/1FGq6wYJLtm1NdmobCq+PIuYaIzX8EHZdTH4RdYHxRLkg==" saltValue="Tk1rFiLOMh3a08ocqzp+6A==" spinCount="100000" sheet="true" objects="true" scenarios="true"/>
  <mergeCells count="20">
    <mergeCell ref="C3:I3"/>
    <mergeCell ref="C4:I4"/>
    <mergeCell ref="C6:I6"/>
    <mergeCell ref="C8:I8"/>
    <mergeCell ref="C10:I10"/>
    <mergeCell ref="C11:I11"/>
    <mergeCell ref="C12:I12"/>
    <mergeCell ref="I19:I21"/>
    <mergeCell ref="D24:G24"/>
    <mergeCell ref="H24:I26"/>
    <mergeCell ref="D26:G26"/>
    <mergeCell ref="H27:H29"/>
    <mergeCell ref="I27:I44"/>
    <mergeCell ref="H30:H32"/>
    <mergeCell ref="H33:H35"/>
    <mergeCell ref="H36:H38"/>
    <mergeCell ref="H39:H41"/>
    <mergeCell ref="H42:H44"/>
    <mergeCell ref="C45:I45"/>
    <mergeCell ref="C46:I46"/>
  </mergeCells>
  <conditionalFormatting sqref="D29:G29 D32:G32 D35:G35 D44:G44 D38:G41">
    <cfRule type="expression" priority="2" aboveAverage="0" equalAverage="0" bottom="0" percent="0" rank="0" text="" dxfId="14">
      <formula>IF(OR(ISBLANK(D29),D29=0,ISBLANK($C$63)),0, IF(D29&lt;$C$63,1,0))</formula>
    </cfRule>
    <cfRule type="expression" priority="3" aboveAverage="0" equalAverage="0" bottom="0" percent="0" rank="0" text="" dxfId="15">
      <formula>IF(OR(ISBLANK(D29),ISBLANK($C$63)),0,IF(DATE(YEAR(D29),MONTH(D29)-2,DAY(D29))&lt;$C$63,1,0))</formula>
    </cfRule>
  </conditionalFormatting>
  <conditionalFormatting sqref="D22:G22">
    <cfRule type="expression" priority="4" aboveAverage="0" equalAverage="0" bottom="0" percent="0" rank="0" text="" dxfId="16">
      <formula>AND(D22=D25,D22&gt;0)</formula>
    </cfRule>
    <cfRule type="expression" priority="5" aboveAverage="0" equalAverage="0" bottom="0" percent="0" rank="0" text="" dxfId="17">
      <formula>OR(D22&lt;&gt;D25,D22&lt;=0)</formula>
    </cfRule>
  </conditionalFormatting>
  <conditionalFormatting sqref="D25:G25">
    <cfRule type="expression" priority="6" aboveAverage="0" equalAverage="0" bottom="0" percent="0" rank="0" text="" dxfId="18">
      <formula>IF(D17="YES",AND(D23=D25,D23&gt;0),AND(D22=D25,D22&gt;0))</formula>
    </cfRule>
  </conditionalFormatting>
  <dataValidations count="6">
    <dataValidation allowBlank="false" errorStyle="stop" operator="between" showDropDown="false" showErrorMessage="true" showInputMessage="true" sqref="D17:G17" type="list">
      <formula1>$E$47:$E$48</formula1>
      <formula2>0</formula2>
    </dataValidation>
    <dataValidation allowBlank="false" errorStyle="stop" operator="between" showDropDown="false" showErrorMessage="true" showInputMessage="true" sqref="D16:G16" type="list">
      <formula1>$D$47:$D$53</formula1>
      <formula2>0</formula2>
    </dataValidation>
    <dataValidation allowBlank="true" error="Enter a number greater than zero." errorStyle="stop" operator="greaterThan" showDropDown="false" showErrorMessage="true" showInputMessage="true" sqref="D15:G15" type="list">
      <formula1>$C$47:$C$49</formula1>
      <formula2>0</formula2>
    </dataValidation>
    <dataValidation allowBlank="true" error="Please enter a valid date." errorStyle="stop" operator="greaterThan" showDropDown="false" showErrorMessage="true" showInputMessage="true" sqref="D29:G29 D32:G32 D35:G35 D38:G38 D41:G41 D44:G44" type="date">
      <formula1>36526</formula1>
      <formula2>0</formula2>
    </dataValidation>
    <dataValidation allowBlank="true" error="Enter a dollar amount greater than zero." errorStyle="stop" operator="greaterThanOrEqual" showDropDown="false" showErrorMessage="true" showInputMessage="true" sqref="D19:G21 D25:G25" type="decimal">
      <formula1>0</formula1>
      <formula2>0</formula2>
    </dataValidation>
    <dataValidation allowBlank="true" error="Enter a date." errorStyle="stop" operator="greaterThan" showDropDown="false" showErrorMessage="true" showInputMessage="true" sqref="D18:G18" type="date">
      <formula1>36526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49"/>
  <sheetViews>
    <sheetView showFormulas="false" showGridLines="true" showRowColHeaders="true" showZeros="true" rightToLeft="false" tabSelected="false" showOutlineSymbols="true" defaultGridColor="true" view="normal" topLeftCell="A15" colorId="64" zoomScale="100" zoomScaleNormal="100" zoomScalePageLayoutView="100" workbookViewId="0">
      <selection pane="topLeft" activeCell="A15" activeCellId="0" sqref="A15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12.62"/>
    <col collapsed="false" customWidth="true" hidden="false" outlineLevel="0" max="4" min="4" style="1" width="26.62"/>
    <col collapsed="false" customWidth="true" hidden="false" outlineLevel="0" max="5" min="5" style="1" width="26.5"/>
    <col collapsed="false" customWidth="true" hidden="false" outlineLevel="0" max="6" min="6" style="1" width="6.62"/>
    <col collapsed="false" customWidth="true" hidden="false" outlineLevel="0" max="8" min="7" style="1" width="15.62"/>
    <col collapsed="false" customWidth="true" hidden="false" outlineLevel="0" max="9" min="9" style="1" width="12.62"/>
    <col collapsed="false" customWidth="true" hidden="false" outlineLevel="0" max="11" min="10" style="1" width="3.62"/>
    <col collapsed="false" customWidth="false" hidden="true" outlineLevel="0" max="15" min="12" style="1" width="9.1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304"/>
      <c r="B1" s="305"/>
      <c r="C1" s="305"/>
      <c r="D1" s="305"/>
      <c r="E1" s="305"/>
      <c r="F1" s="305"/>
      <c r="G1" s="305"/>
      <c r="H1" s="305"/>
      <c r="I1" s="305"/>
      <c r="J1" s="305"/>
      <c r="K1" s="305"/>
      <c r="L1" s="305"/>
      <c r="M1" s="305"/>
      <c r="N1" s="305"/>
      <c r="O1" s="305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305"/>
      <c r="B2" s="6"/>
      <c r="C2" s="81" t="str">
        <f aca="false">Contents!B59</f>
        <v>Version: AS L 6 LARGE locked LOCAL</v>
      </c>
      <c r="D2" s="6"/>
      <c r="E2" s="6"/>
      <c r="F2" s="6"/>
      <c r="G2" s="6"/>
      <c r="H2" s="6"/>
      <c r="I2" s="6"/>
      <c r="J2" s="6"/>
      <c r="K2" s="305"/>
      <c r="L2" s="305"/>
      <c r="M2" s="305"/>
      <c r="N2" s="305"/>
      <c r="O2" s="305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306"/>
      <c r="B3" s="307"/>
      <c r="C3" s="8" t="str">
        <f aca="false">Contents!$E$3</f>
        <v>THE SOCIETY FOR CREATIVE ANACHRONISM, INC.</v>
      </c>
      <c r="D3" s="8"/>
      <c r="E3" s="8"/>
      <c r="F3" s="8"/>
      <c r="G3" s="8"/>
      <c r="H3" s="8"/>
      <c r="I3" s="307"/>
      <c r="J3" s="6"/>
      <c r="K3" s="306"/>
      <c r="L3" s="306"/>
      <c r="M3" s="306"/>
      <c r="N3" s="306"/>
      <c r="O3" s="306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305"/>
      <c r="B4" s="307"/>
      <c r="C4" s="8" t="str">
        <f aca="false">Contents!$E$4</f>
        <v>FINANCIAL REPORT</v>
      </c>
      <c r="D4" s="8"/>
      <c r="E4" s="8"/>
      <c r="F4" s="8"/>
      <c r="G4" s="8"/>
      <c r="H4" s="8"/>
      <c r="I4" s="307"/>
      <c r="J4" s="6"/>
      <c r="K4" s="305"/>
      <c r="L4" s="305"/>
      <c r="M4" s="305"/>
      <c r="N4" s="305"/>
      <c r="O4" s="305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305"/>
      <c r="B5" s="307"/>
      <c r="C5" s="308"/>
      <c r="D5" s="308"/>
      <c r="E5" s="308"/>
      <c r="F5" s="308"/>
      <c r="G5" s="308"/>
      <c r="H5" s="308"/>
      <c r="I5" s="307"/>
      <c r="J5" s="6"/>
      <c r="K5" s="305"/>
      <c r="L5" s="305"/>
      <c r="M5" s="305"/>
      <c r="N5" s="305"/>
      <c r="O5" s="305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309"/>
      <c r="B6" s="6"/>
      <c r="C6" s="6"/>
      <c r="D6" s="6"/>
      <c r="E6" s="6"/>
      <c r="F6" s="6"/>
      <c r="G6" s="6"/>
      <c r="H6" s="6"/>
      <c r="I6" s="6"/>
      <c r="J6" s="6"/>
      <c r="K6" s="309"/>
      <c r="L6" s="309"/>
      <c r="M6" s="309"/>
      <c r="N6" s="309"/>
      <c r="O6" s="309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7.35" hidden="false" customHeight="false" outlineLevel="0" collapsed="false">
      <c r="A7" s="310"/>
      <c r="B7" s="6"/>
      <c r="C7" s="11" t="str">
        <f aca="false">Contents!B58</f>
        <v>Branch:   SCA, Inc.- Middle Kingdom                                               Period:  1/01/2025             to     12/31/2025            .</v>
      </c>
      <c r="D7" s="11"/>
      <c r="E7" s="11"/>
      <c r="F7" s="11"/>
      <c r="G7" s="11"/>
      <c r="H7" s="11"/>
      <c r="I7" s="6"/>
      <c r="J7" s="6"/>
      <c r="K7" s="310"/>
      <c r="L7" s="310"/>
      <c r="M7" s="310"/>
      <c r="N7" s="310"/>
      <c r="O7" s="31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4.25" hidden="false" customHeight="false" outlineLevel="0" collapsed="false">
      <c r="A8" s="309"/>
      <c r="B8" s="311"/>
      <c r="C8" s="311"/>
      <c r="D8" s="311"/>
      <c r="E8" s="311"/>
      <c r="F8" s="311"/>
      <c r="G8" s="311"/>
      <c r="H8" s="311"/>
      <c r="I8" s="311"/>
      <c r="J8" s="6"/>
      <c r="K8" s="309"/>
      <c r="L8" s="309"/>
      <c r="M8" s="309"/>
      <c r="N8" s="309"/>
      <c r="O8" s="309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7.35" hidden="false" customHeight="false" outlineLevel="0" collapsed="false">
      <c r="A9" s="312"/>
      <c r="B9" s="313"/>
      <c r="C9" s="314" t="s">
        <v>288</v>
      </c>
      <c r="D9" s="314"/>
      <c r="E9" s="314"/>
      <c r="F9" s="314"/>
      <c r="G9" s="314"/>
      <c r="H9" s="314"/>
      <c r="I9" s="313"/>
      <c r="J9" s="6"/>
      <c r="K9" s="312"/>
      <c r="L9" s="312"/>
      <c r="M9" s="312"/>
      <c r="N9" s="312"/>
      <c r="O9" s="312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5" hidden="false" customHeight="false" outlineLevel="0" collapsed="false">
      <c r="A10" s="312"/>
      <c r="B10" s="311"/>
      <c r="C10" s="6"/>
      <c r="D10" s="311"/>
      <c r="E10" s="311"/>
      <c r="F10" s="311"/>
      <c r="G10" s="311"/>
      <c r="H10" s="311"/>
      <c r="I10" s="311"/>
      <c r="J10" s="6"/>
      <c r="K10" s="312"/>
      <c r="L10" s="312"/>
      <c r="M10" s="312"/>
      <c r="N10" s="312"/>
      <c r="O10" s="312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5" hidden="false" customHeight="false" outlineLevel="0" collapsed="false">
      <c r="A11" s="312"/>
      <c r="B11" s="315"/>
      <c r="C11" s="316" t="s">
        <v>289</v>
      </c>
      <c r="D11" s="316"/>
      <c r="E11" s="316"/>
      <c r="F11" s="316"/>
      <c r="G11" s="316"/>
      <c r="H11" s="316"/>
      <c r="I11" s="315"/>
      <c r="J11" s="6"/>
      <c r="K11" s="312"/>
      <c r="L11" s="312"/>
      <c r="M11" s="312"/>
      <c r="N11" s="312"/>
      <c r="O11" s="312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5" hidden="false" customHeight="false" outlineLevel="0" collapsed="false">
      <c r="A12" s="312"/>
      <c r="B12" s="315"/>
      <c r="C12" s="316" t="s">
        <v>290</v>
      </c>
      <c r="D12" s="316"/>
      <c r="E12" s="316"/>
      <c r="F12" s="316"/>
      <c r="G12" s="316"/>
      <c r="H12" s="316"/>
      <c r="I12" s="315"/>
      <c r="J12" s="6"/>
      <c r="K12" s="312"/>
      <c r="L12" s="312"/>
      <c r="M12" s="312"/>
      <c r="N12" s="312"/>
      <c r="O12" s="312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5" hidden="false" customHeight="false" outlineLevel="0" collapsed="false">
      <c r="A13" s="312"/>
      <c r="B13" s="315"/>
      <c r="C13" s="317" t="s">
        <v>291</v>
      </c>
      <c r="D13" s="317"/>
      <c r="E13" s="317"/>
      <c r="F13" s="317"/>
      <c r="G13" s="317"/>
      <c r="H13" s="317"/>
      <c r="I13" s="317"/>
      <c r="J13" s="6"/>
      <c r="K13" s="312"/>
      <c r="L13" s="312"/>
      <c r="M13" s="312"/>
      <c r="N13" s="312"/>
      <c r="O13" s="312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5" hidden="false" customHeight="false" outlineLevel="0" collapsed="false">
      <c r="A14" s="312"/>
      <c r="B14" s="315"/>
      <c r="C14" s="318" t="s">
        <v>292</v>
      </c>
      <c r="D14" s="318"/>
      <c r="E14" s="318"/>
      <c r="F14" s="318"/>
      <c r="G14" s="318"/>
      <c r="H14" s="318"/>
      <c r="I14" s="318"/>
      <c r="J14" s="6"/>
      <c r="K14" s="312"/>
      <c r="L14" s="312"/>
      <c r="M14" s="312"/>
      <c r="N14" s="312"/>
      <c r="O14" s="312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5" hidden="false" customHeight="false" outlineLevel="0" collapsed="false">
      <c r="A15" s="312"/>
      <c r="B15" s="315"/>
      <c r="C15" s="319" t="s">
        <v>293</v>
      </c>
      <c r="D15" s="319"/>
      <c r="E15" s="319"/>
      <c r="F15" s="319"/>
      <c r="G15" s="319"/>
      <c r="H15" s="319"/>
      <c r="I15" s="319"/>
      <c r="J15" s="6"/>
      <c r="K15" s="312"/>
      <c r="L15" s="312"/>
      <c r="M15" s="312"/>
      <c r="N15" s="312"/>
      <c r="O15" s="312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5" hidden="false" customHeight="false" outlineLevel="0" collapsed="false">
      <c r="A16" s="312"/>
      <c r="B16" s="315"/>
      <c r="C16" s="320" t="s">
        <v>294</v>
      </c>
      <c r="D16" s="320"/>
      <c r="E16" s="320"/>
      <c r="F16" s="320"/>
      <c r="G16" s="320"/>
      <c r="H16" s="320"/>
      <c r="I16" s="320"/>
      <c r="J16" s="6"/>
      <c r="K16" s="312"/>
      <c r="L16" s="312"/>
      <c r="M16" s="312"/>
      <c r="N16" s="312"/>
      <c r="O16" s="312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5" hidden="false" customHeight="false" outlineLevel="0" collapsed="false">
      <c r="A17" s="312"/>
      <c r="B17" s="315"/>
      <c r="C17" s="311"/>
      <c r="D17" s="321"/>
      <c r="E17" s="321"/>
      <c r="F17" s="321"/>
      <c r="G17" s="322" t="str">
        <f aca="false">Contents!$C$14</f>
        <v>USD $</v>
      </c>
      <c r="H17" s="322" t="str">
        <f aca="false">Contents!$C$14</f>
        <v>USD $</v>
      </c>
      <c r="I17" s="315"/>
      <c r="J17" s="6"/>
      <c r="K17" s="312"/>
      <c r="L17" s="312"/>
      <c r="M17" s="312"/>
      <c r="N17" s="312"/>
      <c r="O17" s="312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7.35" hidden="false" customHeight="false" outlineLevel="0" collapsed="false">
      <c r="A18" s="305"/>
      <c r="B18" s="315"/>
      <c r="C18" s="323" t="s">
        <v>295</v>
      </c>
      <c r="D18" s="323"/>
      <c r="E18" s="324" t="s">
        <v>296</v>
      </c>
      <c r="F18" s="324"/>
      <c r="G18" s="325" t="s">
        <v>297</v>
      </c>
      <c r="H18" s="326" t="s">
        <v>298</v>
      </c>
      <c r="I18" s="326" t="s">
        <v>299</v>
      </c>
      <c r="J18" s="6"/>
      <c r="K18" s="305"/>
      <c r="L18" s="305"/>
      <c r="M18" s="305"/>
      <c r="N18" s="305"/>
      <c r="O18" s="305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15" hidden="false" customHeight="true" outlineLevel="0" collapsed="false">
      <c r="A19" s="305"/>
      <c r="B19" s="315"/>
      <c r="C19" s="327" t="s">
        <v>300</v>
      </c>
      <c r="D19" s="327"/>
      <c r="E19" s="327"/>
      <c r="F19" s="328" t="s">
        <v>301</v>
      </c>
      <c r="G19" s="329" t="n">
        <v>36498.71</v>
      </c>
      <c r="H19" s="330" t="n">
        <f aca="false">IF(PRIMARY_ACCOUNT_2a!$F$38&lt;&gt;"YES",IF(PRIMARY_ACCOUNT_2a!$H$37=PRIMARY_ACCOUNT_2a!$H$36,PRIMARY_ACCOUNT_2a!$H$37,0),0)+SECONDARY_ACCOUNTS_2b!I22+SECONDARY_ACCOUNTS_2c!I22+SECONDARY_ACCOUNTS_2d!I22+ASSET_DTL_5a!G19</f>
        <v>39173.51</v>
      </c>
      <c r="I19" s="330" t="n">
        <f aca="false">H19-G19</f>
        <v>2674.8</v>
      </c>
      <c r="J19" s="6"/>
      <c r="K19" s="305"/>
      <c r="L19" s="305"/>
      <c r="M19" s="305"/>
      <c r="N19" s="305"/>
      <c r="O19" s="305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15" hidden="false" customHeight="false" outlineLevel="0" collapsed="false">
      <c r="A20" s="305"/>
      <c r="B20" s="6"/>
      <c r="C20" s="331" t="s">
        <v>302</v>
      </c>
      <c r="D20" s="331"/>
      <c r="E20" s="331"/>
      <c r="F20" s="332" t="s">
        <v>303</v>
      </c>
      <c r="G20" s="333" t="n">
        <v>165613.04</v>
      </c>
      <c r="H20" s="334" t="n">
        <f aca="false">IF(PRIMARY_ACCOUNT_2a!F38="YES",IF(PRIMARY_ACCOUNT_2a!H37=PRIMARY_ACCOUNT_2a!H36,PRIMARY_ACCOUNT_2a!H37,0),0)+SECONDARY_ACCOUNTS_2b!I23+SECONDARY_ACCOUNTS_2c!I23+SECONDARY_ACCOUNTS_2d!I23</f>
        <v>165546.18</v>
      </c>
      <c r="I20" s="334" t="n">
        <f aca="false">H20-G20</f>
        <v>-66.8600000000151</v>
      </c>
      <c r="J20" s="6"/>
      <c r="K20" s="305"/>
      <c r="L20" s="305"/>
      <c r="M20" s="305"/>
      <c r="N20" s="305"/>
      <c r="O20" s="305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15" hidden="false" customHeight="false" outlineLevel="0" collapsed="false">
      <c r="A21" s="312"/>
      <c r="B21" s="6"/>
      <c r="C21" s="331" t="s">
        <v>304</v>
      </c>
      <c r="D21" s="331"/>
      <c r="E21" s="331"/>
      <c r="F21" s="332" t="s">
        <v>305</v>
      </c>
      <c r="G21" s="335" t="n">
        <f aca="false">ASSET_DTL_5a!F35+ASSET_DTL_5c!E33</f>
        <v>0</v>
      </c>
      <c r="H21" s="334" t="n">
        <f aca="false">ASSET_DTL_5a!G35+ASSET_DTL_5c!F33</f>
        <v>0</v>
      </c>
      <c r="I21" s="334" t="n">
        <f aca="false">H21-G21</f>
        <v>0</v>
      </c>
      <c r="J21" s="6"/>
      <c r="K21" s="312"/>
      <c r="L21" s="312"/>
      <c r="M21" s="312"/>
      <c r="N21" s="312"/>
      <c r="O21" s="312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15" hidden="false" customHeight="false" outlineLevel="0" collapsed="false">
      <c r="A22" s="312"/>
      <c r="B22" s="6"/>
      <c r="C22" s="331" t="s">
        <v>306</v>
      </c>
      <c r="D22" s="331"/>
      <c r="E22" s="331"/>
      <c r="F22" s="332" t="s">
        <v>307</v>
      </c>
      <c r="G22" s="335" t="n">
        <f aca="false">INVENTORY_DTL_6!M17+INVENTORY_DTL_6b!M17</f>
        <v>0</v>
      </c>
      <c r="H22" s="334" t="n">
        <f aca="false">INVENTORY_DTL_6!M27+INVENTORY_DTL_6b!M27</f>
        <v>0</v>
      </c>
      <c r="I22" s="334" t="n">
        <f aca="false">H22-G22</f>
        <v>0</v>
      </c>
      <c r="J22" s="6"/>
      <c r="K22" s="312"/>
      <c r="L22" s="312"/>
      <c r="M22" s="312"/>
      <c r="N22" s="312"/>
      <c r="O22" s="312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15" hidden="false" customHeight="false" outlineLevel="0" collapsed="false">
      <c r="A23" s="312"/>
      <c r="B23" s="315"/>
      <c r="C23" s="331" t="s">
        <v>308</v>
      </c>
      <c r="D23" s="331"/>
      <c r="E23" s="331"/>
      <c r="F23" s="332" t="s">
        <v>309</v>
      </c>
      <c r="G23" s="335" t="n">
        <f aca="false">REGALIA_SALES_DTL_7!F32+REGALIA_SALES_DTL_7b!F32</f>
        <v>0</v>
      </c>
      <c r="H23" s="334" t="n">
        <f aca="false">REGALIA_SALES_DTL_7!I32+REGALIA_SALES_DTL_7b!I32</f>
        <v>0</v>
      </c>
      <c r="I23" s="334" t="n">
        <f aca="false">H23-G23</f>
        <v>0</v>
      </c>
      <c r="J23" s="6"/>
      <c r="K23" s="312"/>
      <c r="L23" s="312"/>
      <c r="M23" s="312"/>
      <c r="N23" s="312"/>
      <c r="O23" s="312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5" hidden="false" customHeight="false" outlineLevel="0" collapsed="false">
      <c r="A24" s="312"/>
      <c r="B24" s="315"/>
      <c r="C24" s="331" t="s">
        <v>310</v>
      </c>
      <c r="D24" s="331"/>
      <c r="E24" s="331"/>
      <c r="F24" s="336" t="s">
        <v>311</v>
      </c>
      <c r="G24" s="337" t="n">
        <f aca="false">DEPR_DTL_8!I47+DEPR_DTL_8b!I54+DEPR_DTL_8c!I54+
REGALIA_SALES_DTL_7!F49+REGALIA_SALES_DTL_7!F50+REGALIA_SALES_DTL_7!F51+
REGALIA_SALES_DTL_7b!F49+REGALIA_SALES_DTL_7b!F50+REGALIA_SALES_DTL_7b!F51</f>
        <v>45002.08</v>
      </c>
      <c r="H24" s="338" t="n">
        <f aca="false">DEPR_DTL_8!J47+DEPR_DTL_8b!J54+DEPR_DTL_8c!J54</f>
        <v>45002.08</v>
      </c>
      <c r="I24" s="338" t="n">
        <f aca="false">H24-G24</f>
        <v>0</v>
      </c>
      <c r="J24" s="6"/>
      <c r="K24" s="312"/>
      <c r="L24" s="312"/>
      <c r="M24" s="312"/>
      <c r="N24" s="312"/>
      <c r="O24" s="312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15" hidden="false" customHeight="false" outlineLevel="0" collapsed="false">
      <c r="A25" s="305"/>
      <c r="B25" s="315"/>
      <c r="C25" s="331" t="s">
        <v>312</v>
      </c>
      <c r="D25" s="331"/>
      <c r="E25" s="331"/>
      <c r="F25" s="336" t="s">
        <v>311</v>
      </c>
      <c r="G25" s="337" t="n">
        <f aca="false">-1*(DEPR_DTL_8!K47+DEPR_DTL_8b!K54+DEPR_DTL_8c!K54+
REGALIA_SALES_DTL_7!G49+REGALIA_SALES_DTL_7!G50+REGALIA_SALES_DTL_7!G51+
REGALIA_SALES_DTL_7b!G49+REGALIA_SALES_DTL_7b!G50+REGALIA_SALES_DTL_7b!G51)</f>
        <v>-45002.08</v>
      </c>
      <c r="H25" s="338" t="n">
        <f aca="false">(DEPR_DTL_8!M47*-1)+(DEPR_DTL_8b!M54*-1)+(DEPR_DTL_8c!M54*-1)</f>
        <v>-45002.08</v>
      </c>
      <c r="I25" s="338" t="n">
        <f aca="false">H25-G25</f>
        <v>0</v>
      </c>
      <c r="J25" s="6"/>
      <c r="K25" s="305"/>
      <c r="L25" s="305"/>
      <c r="M25" s="305"/>
      <c r="N25" s="305"/>
      <c r="O25" s="305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5" hidden="false" customHeight="false" outlineLevel="0" collapsed="false">
      <c r="A26" s="305"/>
      <c r="B26" s="315"/>
      <c r="C26" s="331" t="s">
        <v>313</v>
      </c>
      <c r="D26" s="331"/>
      <c r="E26" s="331"/>
      <c r="F26" s="336" t="s">
        <v>305</v>
      </c>
      <c r="G26" s="337" t="n">
        <f aca="false">ASSET_DTL_5a!F46+ASSET_DTL_5c!E44</f>
        <v>8836.16</v>
      </c>
      <c r="H26" s="338" t="n">
        <f aca="false">ASSET_DTL_5a!G46+ASSET_DTL_5c!F44</f>
        <v>0</v>
      </c>
      <c r="I26" s="338" t="n">
        <f aca="false">H26-G26</f>
        <v>-8836.16</v>
      </c>
      <c r="J26" s="6"/>
      <c r="K26" s="305"/>
      <c r="L26" s="305"/>
      <c r="M26" s="305"/>
      <c r="N26" s="305"/>
      <c r="O26" s="305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5" hidden="false" customHeight="false" outlineLevel="0" collapsed="false">
      <c r="A27" s="305"/>
      <c r="B27" s="315"/>
      <c r="C27" s="339" t="s">
        <v>314</v>
      </c>
      <c r="D27" s="339"/>
      <c r="E27" s="339"/>
      <c r="F27" s="336" t="s">
        <v>305</v>
      </c>
      <c r="G27" s="337" t="n">
        <f aca="false">ASSET_DTL_5a!F60+ASSET_DTL_5c!E58</f>
        <v>0</v>
      </c>
      <c r="H27" s="338" t="n">
        <f aca="false">ASSET_DTL_5a!G60+ASSET_DTL_5c!F58</f>
        <v>0</v>
      </c>
      <c r="I27" s="338" t="n">
        <f aca="false">H27-G27</f>
        <v>0</v>
      </c>
      <c r="J27" s="6"/>
      <c r="K27" s="305"/>
      <c r="L27" s="305"/>
      <c r="M27" s="305"/>
      <c r="N27" s="305"/>
      <c r="O27" s="305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9.5" hidden="false" customHeight="true" outlineLevel="0" collapsed="false">
      <c r="A28" s="305"/>
      <c r="B28" s="6"/>
      <c r="C28" s="340" t="s">
        <v>315</v>
      </c>
      <c r="D28" s="341"/>
      <c r="E28" s="342" t="s">
        <v>316</v>
      </c>
      <c r="F28" s="342"/>
      <c r="G28" s="343" t="n">
        <f aca="false">SUM(G19:G27)</f>
        <v>210947.91</v>
      </c>
      <c r="H28" s="344" t="n">
        <f aca="false">SUM(H19:H27)</f>
        <v>204719.69</v>
      </c>
      <c r="I28" s="344" t="n">
        <f aca="false">SUM(I19:I27)</f>
        <v>-6228.22000000001</v>
      </c>
      <c r="J28" s="6"/>
      <c r="K28" s="305"/>
      <c r="L28" s="305"/>
      <c r="M28" s="305"/>
      <c r="N28" s="305"/>
      <c r="O28" s="305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A29" s="309"/>
      <c r="B29" s="6"/>
      <c r="C29" s="6"/>
      <c r="D29" s="6"/>
      <c r="E29" s="6"/>
      <c r="F29" s="6"/>
      <c r="G29" s="6"/>
      <c r="H29" s="6"/>
      <c r="I29" s="6"/>
      <c r="J29" s="6"/>
      <c r="K29" s="309"/>
      <c r="L29" s="309"/>
      <c r="M29" s="309"/>
      <c r="N29" s="309"/>
      <c r="O29" s="309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7.35" hidden="false" customHeight="false" outlineLevel="0" collapsed="false">
      <c r="A30" s="305"/>
      <c r="B30" s="6"/>
      <c r="C30" s="345" t="s">
        <v>317</v>
      </c>
      <c r="D30" s="346"/>
      <c r="E30" s="346"/>
      <c r="F30" s="347"/>
      <c r="G30" s="348"/>
      <c r="H30" s="349"/>
      <c r="I30" s="349"/>
      <c r="J30" s="6"/>
      <c r="K30" s="309"/>
      <c r="L30" s="309"/>
      <c r="M30" s="309"/>
      <c r="N30" s="309"/>
      <c r="O30" s="309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15" hidden="false" customHeight="false" outlineLevel="0" collapsed="false">
      <c r="A31" s="305"/>
      <c r="B31" s="6"/>
      <c r="C31" s="350" t="s">
        <v>318</v>
      </c>
      <c r="D31" s="350"/>
      <c r="E31" s="350"/>
      <c r="F31" s="351" t="s">
        <v>319</v>
      </c>
      <c r="G31" s="333" t="n">
        <v>0</v>
      </c>
      <c r="H31" s="352" t="n">
        <f aca="false">NEWSLETTER_15!E16</f>
        <v>0</v>
      </c>
      <c r="I31" s="352" t="n">
        <f aca="false">H31-G31</f>
        <v>0</v>
      </c>
      <c r="J31" s="6"/>
      <c r="K31" s="309"/>
      <c r="L31" s="309"/>
      <c r="M31" s="309"/>
      <c r="N31" s="309"/>
      <c r="O31" s="309"/>
      <c r="P31" s="79" t="s">
        <v>181</v>
      </c>
      <c r="Q31" s="78"/>
      <c r="R31" s="78"/>
      <c r="S31" s="78"/>
      <c r="T31" s="79" t="s">
        <v>83</v>
      </c>
    </row>
    <row r="32" customFormat="false" ht="15" hidden="false" customHeight="false" outlineLevel="0" collapsed="false">
      <c r="A32" s="309"/>
      <c r="B32" s="311"/>
      <c r="C32" s="331" t="s">
        <v>320</v>
      </c>
      <c r="D32" s="331"/>
      <c r="E32" s="331"/>
      <c r="F32" s="332" t="s">
        <v>321</v>
      </c>
      <c r="G32" s="335" t="n">
        <f aca="false">LIABILITY_DTL_5b!E31+LIABILITY_DTL_5d!E29</f>
        <v>0</v>
      </c>
      <c r="H32" s="334" t="n">
        <f aca="false">LIABILITY_DTL_5b!F31+LIABILITY_DTL_5d!F29</f>
        <v>0</v>
      </c>
      <c r="I32" s="334" t="n">
        <f aca="false">H32-G32</f>
        <v>0</v>
      </c>
      <c r="J32" s="6"/>
      <c r="K32" s="309"/>
      <c r="L32" s="309"/>
      <c r="M32" s="309"/>
      <c r="N32" s="309"/>
      <c r="O32" s="309"/>
      <c r="P32" s="79" t="s">
        <v>76</v>
      </c>
      <c r="Q32" s="78"/>
      <c r="R32" s="78"/>
      <c r="S32" s="78"/>
      <c r="T32" s="79" t="s">
        <v>85</v>
      </c>
    </row>
    <row r="33" customFormat="false" ht="15" hidden="false" customHeight="false" outlineLevel="0" collapsed="false">
      <c r="A33" s="305"/>
      <c r="B33" s="311"/>
      <c r="C33" s="331" t="s">
        <v>322</v>
      </c>
      <c r="D33" s="331"/>
      <c r="E33" s="331"/>
      <c r="F33" s="332" t="s">
        <v>321</v>
      </c>
      <c r="G33" s="335" t="n">
        <f aca="false">LIABILITY_DTL_5b!E44+LIABILITY_DTL_5d!E47</f>
        <v>0</v>
      </c>
      <c r="H33" s="334" t="n">
        <f aca="false">LIABILITY_DTL_5b!F44+LIABILITY_DTL_5d!F47</f>
        <v>0</v>
      </c>
      <c r="I33" s="334" t="n">
        <f aca="false">H33-G33</f>
        <v>0</v>
      </c>
      <c r="J33" s="6"/>
      <c r="K33" s="309"/>
      <c r="L33" s="309"/>
      <c r="M33" s="309"/>
      <c r="N33" s="309"/>
      <c r="O33" s="309"/>
      <c r="P33" s="79" t="s">
        <v>78</v>
      </c>
      <c r="Q33" s="78"/>
      <c r="R33" s="78"/>
      <c r="S33" s="78"/>
      <c r="T33" s="79" t="s">
        <v>86</v>
      </c>
    </row>
    <row r="34" customFormat="false" ht="15" hidden="false" customHeight="false" outlineLevel="0" collapsed="false">
      <c r="A34" s="305"/>
      <c r="B34" s="6"/>
      <c r="C34" s="339" t="s">
        <v>323</v>
      </c>
      <c r="D34" s="339"/>
      <c r="E34" s="339"/>
      <c r="F34" s="336" t="s">
        <v>321</v>
      </c>
      <c r="G34" s="337" t="n">
        <f aca="false">LIABILITY_DTL_5b!E56+LIABILITY_DTL_5d!E56</f>
        <v>0</v>
      </c>
      <c r="H34" s="338" t="n">
        <f aca="false">LIABILITY_DTL_5b!F56+LIABILITY_DTL_5d!F56</f>
        <v>0</v>
      </c>
      <c r="I34" s="338" t="n">
        <f aca="false">H34-G34</f>
        <v>0</v>
      </c>
      <c r="J34" s="6"/>
      <c r="K34" s="353"/>
      <c r="L34" s="353"/>
      <c r="M34" s="353"/>
      <c r="N34" s="353"/>
      <c r="O34" s="353"/>
      <c r="P34" s="79" t="s">
        <v>79</v>
      </c>
      <c r="Q34" s="78"/>
      <c r="R34" s="78"/>
      <c r="S34" s="78"/>
      <c r="T34" s="79" t="s">
        <v>87</v>
      </c>
    </row>
    <row r="35" customFormat="false" ht="17.35" hidden="false" customHeight="false" outlineLevel="0" collapsed="false">
      <c r="A35" s="305"/>
      <c r="B35" s="6"/>
      <c r="C35" s="340" t="s">
        <v>324</v>
      </c>
      <c r="D35" s="340"/>
      <c r="E35" s="354" t="s">
        <v>325</v>
      </c>
      <c r="F35" s="354"/>
      <c r="G35" s="343" t="n">
        <f aca="false">SUM(G31:G34)</f>
        <v>0</v>
      </c>
      <c r="H35" s="344" t="n">
        <f aca="false">SUM(H31:H34)</f>
        <v>0</v>
      </c>
      <c r="I35" s="344" t="n">
        <f aca="false">SUM(I31:I34)</f>
        <v>0</v>
      </c>
      <c r="J35" s="6"/>
      <c r="K35" s="355"/>
      <c r="L35" s="355"/>
      <c r="M35" s="355"/>
      <c r="N35" s="355"/>
      <c r="O35" s="355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A36" s="305"/>
      <c r="B36" s="311"/>
      <c r="C36" s="6"/>
      <c r="D36" s="6"/>
      <c r="E36" s="6"/>
      <c r="F36" s="6"/>
      <c r="G36" s="6"/>
      <c r="H36" s="6"/>
      <c r="I36" s="311"/>
      <c r="J36" s="6"/>
      <c r="K36" s="355"/>
      <c r="L36" s="355"/>
      <c r="M36" s="355"/>
      <c r="N36" s="355"/>
      <c r="O36" s="355"/>
      <c r="P36" s="79" t="s">
        <v>83</v>
      </c>
      <c r="Q36" s="78"/>
      <c r="R36" s="78"/>
      <c r="S36" s="78"/>
      <c r="T36" s="79" t="s">
        <v>90</v>
      </c>
    </row>
    <row r="37" customFormat="false" ht="17.35" hidden="false" customHeight="false" outlineLevel="0" collapsed="false">
      <c r="A37" s="312"/>
      <c r="B37" s="6"/>
      <c r="C37" s="356" t="s">
        <v>326</v>
      </c>
      <c r="D37" s="356"/>
      <c r="E37" s="357" t="s">
        <v>327</v>
      </c>
      <c r="F37" s="358"/>
      <c r="G37" s="359" t="n">
        <f aca="false">ROUND(G28-G35,2)</f>
        <v>210947.91</v>
      </c>
      <c r="H37" s="360" t="n">
        <f aca="false">ROUND(H28-H35,2)</f>
        <v>204719.69</v>
      </c>
      <c r="I37" s="6"/>
      <c r="J37" s="6"/>
      <c r="K37" s="305"/>
      <c r="L37" s="305"/>
      <c r="M37" s="305"/>
      <c r="N37" s="305"/>
      <c r="O37" s="305"/>
      <c r="P37" s="79" t="s">
        <v>85</v>
      </c>
      <c r="Q37" s="78"/>
      <c r="R37" s="78"/>
      <c r="S37" s="78"/>
      <c r="T37" s="79" t="s">
        <v>192</v>
      </c>
    </row>
    <row r="38" customFormat="false" ht="17.35" hidden="false" customHeight="true" outlineLevel="0" collapsed="false">
      <c r="A38" s="361"/>
      <c r="B38" s="6"/>
      <c r="C38" s="362" t="s">
        <v>328</v>
      </c>
      <c r="D38" s="363" t="s">
        <v>329</v>
      </c>
      <c r="E38" s="363" t="s">
        <v>330</v>
      </c>
      <c r="F38" s="364" t="s">
        <v>331</v>
      </c>
      <c r="G38" s="365" t="n">
        <f aca="false">H37-G37</f>
        <v>-6228.22</v>
      </c>
      <c r="H38" s="366" t="s">
        <v>332</v>
      </c>
      <c r="I38" s="6"/>
      <c r="J38" s="6"/>
      <c r="K38" s="305"/>
      <c r="L38" s="305"/>
      <c r="M38" s="305"/>
      <c r="N38" s="305"/>
      <c r="O38" s="305"/>
      <c r="P38" s="79" t="s">
        <v>86</v>
      </c>
      <c r="Q38" s="78"/>
      <c r="R38" s="78"/>
      <c r="S38" s="78"/>
      <c r="T38" s="79" t="s">
        <v>91</v>
      </c>
    </row>
    <row r="39" customFormat="false" ht="17.35" hidden="false" customHeight="false" outlineLevel="0" collapsed="false">
      <c r="A39" s="305"/>
      <c r="B39" s="6"/>
      <c r="C39" s="367"/>
      <c r="D39" s="368" t="s">
        <v>333</v>
      </c>
      <c r="E39" s="368" t="s">
        <v>334</v>
      </c>
      <c r="F39" s="369" t="s">
        <v>335</v>
      </c>
      <c r="G39" s="370" t="n">
        <f aca="false">INCOME_4!J48</f>
        <v>-6228.22</v>
      </c>
      <c r="H39" s="366"/>
      <c r="I39" s="6"/>
      <c r="J39" s="6"/>
      <c r="K39" s="305"/>
      <c r="L39" s="305"/>
      <c r="M39" s="305"/>
      <c r="N39" s="305"/>
      <c r="O39" s="305"/>
      <c r="P39" s="79" t="s">
        <v>87</v>
      </c>
      <c r="Q39" s="78"/>
      <c r="R39" s="78"/>
      <c r="S39" s="78"/>
      <c r="T39" s="79"/>
    </row>
    <row r="40" customFormat="false" ht="15" hidden="false" customHeight="false" outlineLevel="0" collapsed="false">
      <c r="A40" s="312"/>
      <c r="B40" s="6"/>
      <c r="C40" s="371"/>
      <c r="D40" s="371"/>
      <c r="E40" s="371"/>
      <c r="F40" s="371"/>
      <c r="G40" s="371"/>
      <c r="H40" s="371"/>
      <c r="I40" s="6"/>
      <c r="J40" s="6"/>
      <c r="K40" s="305"/>
      <c r="L40" s="305"/>
      <c r="M40" s="305"/>
      <c r="N40" s="305"/>
      <c r="O40" s="305"/>
      <c r="P40" s="79" t="s">
        <v>89</v>
      </c>
      <c r="Q40" s="78"/>
      <c r="R40" s="78"/>
      <c r="S40" s="78"/>
      <c r="T40" s="78"/>
    </row>
    <row r="41" customFormat="false" ht="15" hidden="false" customHeight="false" outlineLevel="0" collapsed="false">
      <c r="A41" s="309"/>
      <c r="B41" s="372"/>
      <c r="C41" s="373" t="s">
        <v>336</v>
      </c>
      <c r="D41" s="311" t="s">
        <v>337</v>
      </c>
      <c r="E41" s="311" t="s">
        <v>338</v>
      </c>
      <c r="F41" s="311"/>
      <c r="G41" s="311"/>
      <c r="H41" s="374"/>
      <c r="I41" s="372"/>
      <c r="J41" s="6"/>
      <c r="K41" s="312"/>
      <c r="L41" s="312"/>
      <c r="M41" s="312"/>
      <c r="N41" s="312"/>
      <c r="O41" s="312"/>
      <c r="P41" s="79" t="s">
        <v>90</v>
      </c>
      <c r="Q41" s="78"/>
      <c r="R41" s="78"/>
      <c r="S41" s="78"/>
      <c r="T41" s="117"/>
    </row>
    <row r="42" customFormat="false" ht="15" hidden="false" customHeight="false" outlineLevel="0" collapsed="false">
      <c r="A42" s="305"/>
      <c r="B42" s="6"/>
      <c r="C42" s="375" t="s">
        <v>248</v>
      </c>
      <c r="D42" s="376" t="str">
        <f aca="false">IF(Contents!$C$10="","",Contents!$C$10)</f>
        <v>David Young</v>
      </c>
      <c r="E42" s="377"/>
      <c r="F42" s="377"/>
      <c r="G42" s="378" t="s">
        <v>249</v>
      </c>
      <c r="H42" s="379"/>
      <c r="I42" s="6"/>
      <c r="J42" s="6"/>
      <c r="K42" s="361"/>
      <c r="L42" s="361"/>
      <c r="M42" s="361"/>
      <c r="N42" s="361"/>
      <c r="O42" s="361"/>
      <c r="P42" s="79" t="s">
        <v>192</v>
      </c>
      <c r="Q42" s="78"/>
      <c r="R42" s="78"/>
      <c r="S42" s="78"/>
      <c r="T42" s="78"/>
    </row>
    <row r="43" customFormat="false" ht="15" hidden="false" customHeight="false" outlineLevel="0" collapsed="false">
      <c r="A43" s="305"/>
      <c r="B43" s="315"/>
      <c r="C43" s="380" t="s">
        <v>247</v>
      </c>
      <c r="D43" s="381" t="str">
        <f aca="false">IF(Contents!$C$9="","",Contents!$C$9)</f>
        <v>Lisa Gray</v>
      </c>
      <c r="E43" s="382"/>
      <c r="F43" s="382"/>
      <c r="G43" s="383" t="s">
        <v>249</v>
      </c>
      <c r="H43" s="384"/>
      <c r="I43" s="315"/>
      <c r="J43" s="6"/>
      <c r="K43" s="305"/>
      <c r="L43" s="305"/>
      <c r="M43" s="305"/>
      <c r="N43" s="305"/>
      <c r="O43" s="305"/>
      <c r="P43" s="79" t="s">
        <v>91</v>
      </c>
      <c r="Q43" s="78"/>
      <c r="R43" s="78"/>
      <c r="S43" s="78"/>
      <c r="T43" s="78"/>
    </row>
    <row r="44" customFormat="false" ht="15" hidden="false" customHeight="false" outlineLevel="0" collapsed="false">
      <c r="A44" s="305"/>
      <c r="B44" s="315"/>
      <c r="C44" s="385" t="s">
        <v>339</v>
      </c>
      <c r="D44" s="385"/>
      <c r="E44" s="385"/>
      <c r="F44" s="385"/>
      <c r="G44" s="385"/>
      <c r="H44" s="385"/>
      <c r="I44" s="315"/>
      <c r="J44" s="6"/>
      <c r="K44" s="305"/>
      <c r="L44" s="305"/>
      <c r="M44" s="305"/>
      <c r="N44" s="305"/>
      <c r="O44" s="305"/>
      <c r="P44" s="78"/>
      <c r="Q44" s="78"/>
      <c r="R44" s="78"/>
      <c r="S44" s="78"/>
      <c r="T44" s="78"/>
    </row>
    <row r="45" customFormat="false" ht="14.25" hidden="false" customHeight="false" outlineLevel="0" collapsed="false">
      <c r="A45" s="305"/>
      <c r="B45" s="311"/>
      <c r="C45" s="386" t="s">
        <v>340</v>
      </c>
      <c r="D45" s="386"/>
      <c r="E45" s="386"/>
      <c r="F45" s="386"/>
      <c r="G45" s="386"/>
      <c r="H45" s="386"/>
      <c r="I45" s="311"/>
      <c r="J45" s="6"/>
      <c r="K45" s="305"/>
      <c r="L45" s="305"/>
      <c r="M45" s="305"/>
      <c r="N45" s="305"/>
      <c r="O45" s="305"/>
      <c r="P45" s="78"/>
      <c r="Q45" s="78"/>
      <c r="R45" s="78"/>
      <c r="S45" s="78"/>
      <c r="T45" s="78"/>
    </row>
    <row r="46" customFormat="false" ht="14.25" hidden="false" customHeight="false" outlineLevel="0" collapsed="false">
      <c r="Q46" s="78"/>
      <c r="R46" s="78"/>
      <c r="S46" s="78"/>
      <c r="T46" s="78"/>
    </row>
    <row r="47" customFormat="false" ht="14.25" hidden="false" customHeight="false" outlineLevel="0" collapsed="false">
      <c r="Q47" s="78"/>
      <c r="R47" s="78"/>
      <c r="S47" s="78"/>
      <c r="T47" s="78"/>
    </row>
    <row r="48" customFormat="false" ht="14.25" hidden="false" customHeight="false" outlineLevel="0" collapsed="false">
      <c r="S48" s="78"/>
    </row>
    <row r="49" customFormat="false" ht="14.25" hidden="false" customHeight="false" outlineLevel="0" collapsed="false">
      <c r="S49" s="78"/>
    </row>
  </sheetData>
  <sheetProtection algorithmName="SHA-512" hashValue="N79sDM70zmqe0CXOCCb6RpCvVbWg6S3pgqjWSqsdzAHHNtgAU7OLSY7elhaGBFP+1c5ZAW2xoOhkv/Sh/5ucCA==" saltValue="ksRQKh67UPCkkpEDP3/w0g==" spinCount="100000" sheet="true" objects="true" scenarios="true"/>
  <mergeCells count="35">
    <mergeCell ref="C3:H3"/>
    <mergeCell ref="C4:H4"/>
    <mergeCell ref="C7:H7"/>
    <mergeCell ref="C9:H9"/>
    <mergeCell ref="C11:H11"/>
    <mergeCell ref="C12:H12"/>
    <mergeCell ref="C13:I13"/>
    <mergeCell ref="C14:I14"/>
    <mergeCell ref="C15:I15"/>
    <mergeCell ref="C16:I16"/>
    <mergeCell ref="C18:D18"/>
    <mergeCell ref="E18:F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E28:F28"/>
    <mergeCell ref="C31:E31"/>
    <mergeCell ref="C32:E32"/>
    <mergeCell ref="C33:E33"/>
    <mergeCell ref="C34:E34"/>
    <mergeCell ref="C35:D35"/>
    <mergeCell ref="E35:F35"/>
    <mergeCell ref="C37:D37"/>
    <mergeCell ref="H38:H39"/>
    <mergeCell ref="C40:H40"/>
    <mergeCell ref="E42:F42"/>
    <mergeCell ref="E43:F43"/>
    <mergeCell ref="C44:H44"/>
    <mergeCell ref="C45:H45"/>
  </mergeCells>
  <conditionalFormatting sqref="G38:G39">
    <cfRule type="expression" priority="2" aboveAverage="0" equalAverage="0" bottom="0" percent="0" rank="0" text="" dxfId="19">
      <formula>AND(OR($G$37&lt;&gt;0, $H$37&lt;&gt; 0), ROUND($G$38,2)=ROUND($G$39,2))</formula>
    </cfRule>
    <cfRule type="expression" priority="3" aboveAverage="0" equalAverage="0" bottom="0" percent="0" rank="0" text="" dxfId="20">
      <formula>AND(OR($G$37&lt;&gt;0, $H$37&lt;&gt; 0), ROUND($G$38,2)&lt;&gt;ROUND($G$39,2))</formula>
    </cfRule>
  </conditionalFormatting>
  <dataValidations count="1">
    <dataValidation allowBlank="true" error="Enter a dollar amount greater than zero." errorStyle="stop" operator="greaterThanOrEqual" showDropDown="false" showErrorMessage="true" showInputMessage="true" sqref="G19:G20 G31" type="decimal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52"/>
  <sheetViews>
    <sheetView showFormulas="false" showGridLines="true" showRowColHeaders="true" showZeros="true" rightToLeft="false" tabSelected="false" showOutlineSymbols="true" defaultGridColor="true" view="normal" topLeftCell="A11" colorId="64" zoomScale="100" zoomScaleNormal="100" zoomScalePageLayoutView="100" workbookViewId="0">
      <selection pane="topLeft" activeCell="H36" activeCellId="0" sqref="H36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3" min="1" style="1" width="3.62"/>
    <col collapsed="false" customWidth="false" hidden="false" outlineLevel="0" max="4" min="4" style="1" width="9.13"/>
    <col collapsed="false" customWidth="true" hidden="false" outlineLevel="0" max="5" min="5" style="1" width="28.62"/>
    <col collapsed="false" customWidth="true" hidden="false" outlineLevel="0" max="6" min="6" style="1" width="6.62"/>
    <col collapsed="false" customWidth="true" hidden="false" outlineLevel="0" max="10" min="7" style="1" width="15.38"/>
    <col collapsed="false" customWidth="true" hidden="false" outlineLevel="0" max="12" min="11" style="1" width="3.62"/>
    <col collapsed="false" customWidth="false" hidden="true" outlineLevel="0" max="15" min="13" style="1" width="9.1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387"/>
      <c r="B1" s="388"/>
      <c r="C1" s="389"/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388"/>
      <c r="B2" s="390"/>
      <c r="C2" s="81" t="str">
        <f aca="false">Contents!B59</f>
        <v>Version: AS L 6 LARGE locked LOCAL</v>
      </c>
      <c r="D2" s="390"/>
      <c r="E2" s="390"/>
      <c r="F2" s="390"/>
      <c r="G2" s="390"/>
      <c r="H2" s="390"/>
      <c r="I2" s="390"/>
      <c r="J2" s="390"/>
      <c r="K2" s="390"/>
      <c r="L2" s="388"/>
      <c r="M2" s="388"/>
      <c r="N2" s="388"/>
      <c r="O2" s="388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391"/>
      <c r="B3" s="392"/>
      <c r="C3" s="393" t="str">
        <f aca="false">Contents!$E$3</f>
        <v>THE SOCIETY FOR CREATIVE ANACHRONISM, INC.</v>
      </c>
      <c r="D3" s="393"/>
      <c r="E3" s="393"/>
      <c r="F3" s="393"/>
      <c r="G3" s="393"/>
      <c r="H3" s="393"/>
      <c r="I3" s="393"/>
      <c r="J3" s="393"/>
      <c r="K3" s="392"/>
      <c r="L3" s="391"/>
      <c r="M3" s="391"/>
      <c r="N3" s="391"/>
      <c r="O3" s="391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388"/>
      <c r="B4" s="392"/>
      <c r="C4" s="393" t="str">
        <f aca="false">Contents!$E$4</f>
        <v>FINANCIAL REPORT</v>
      </c>
      <c r="D4" s="393"/>
      <c r="E4" s="393"/>
      <c r="F4" s="393"/>
      <c r="G4" s="393"/>
      <c r="H4" s="393"/>
      <c r="I4" s="393"/>
      <c r="J4" s="393"/>
      <c r="K4" s="392"/>
      <c r="L4" s="388"/>
      <c r="M4" s="388"/>
      <c r="N4" s="388"/>
      <c r="O4" s="388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388"/>
      <c r="B5" s="390"/>
      <c r="C5" s="394"/>
      <c r="D5" s="390"/>
      <c r="E5" s="390"/>
      <c r="F5" s="390"/>
      <c r="G5" s="390"/>
      <c r="H5" s="390"/>
      <c r="I5" s="390"/>
      <c r="J5" s="390"/>
      <c r="K5" s="390"/>
      <c r="L5" s="388"/>
      <c r="M5" s="388"/>
      <c r="N5" s="388"/>
      <c r="O5" s="388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388"/>
      <c r="B6" s="390"/>
      <c r="C6" s="395" t="str">
        <f aca="false">Contents!B58</f>
        <v>Branch:   SCA, Inc.- Middle Kingdom                                               Period:  1/01/2025             to     12/31/2025            .</v>
      </c>
      <c r="D6" s="395"/>
      <c r="E6" s="395"/>
      <c r="F6" s="395"/>
      <c r="G6" s="395"/>
      <c r="H6" s="395"/>
      <c r="I6" s="395"/>
      <c r="J6" s="395"/>
      <c r="K6" s="390"/>
      <c r="L6" s="388"/>
      <c r="M6" s="388"/>
      <c r="N6" s="388"/>
      <c r="O6" s="388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388"/>
      <c r="B7" s="390"/>
      <c r="C7" s="394"/>
      <c r="D7" s="390"/>
      <c r="E7" s="390"/>
      <c r="F7" s="390"/>
      <c r="G7" s="390"/>
      <c r="H7" s="390"/>
      <c r="I7" s="390"/>
      <c r="J7" s="390"/>
      <c r="K7" s="390"/>
      <c r="L7" s="388"/>
      <c r="M7" s="388"/>
      <c r="N7" s="388"/>
      <c r="O7" s="388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388"/>
      <c r="B8" s="390"/>
      <c r="C8" s="394"/>
      <c r="D8" s="396" t="s">
        <v>341</v>
      </c>
      <c r="E8" s="396"/>
      <c r="F8" s="396"/>
      <c r="G8" s="396"/>
      <c r="H8" s="396"/>
      <c r="I8" s="396"/>
      <c r="J8" s="396"/>
      <c r="K8" s="390"/>
      <c r="L8" s="388"/>
      <c r="M8" s="388"/>
      <c r="N8" s="388"/>
      <c r="O8" s="388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388"/>
      <c r="B9" s="390"/>
      <c r="C9" s="394"/>
      <c r="D9" s="390"/>
      <c r="E9" s="390"/>
      <c r="F9" s="390"/>
      <c r="G9" s="390"/>
      <c r="H9" s="390"/>
      <c r="I9" s="390"/>
      <c r="J9" s="397" t="str">
        <f aca="false">Contents!$C$14</f>
        <v>USD $</v>
      </c>
      <c r="K9" s="390"/>
      <c r="L9" s="388"/>
      <c r="M9" s="388"/>
      <c r="N9" s="388"/>
      <c r="O9" s="388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4.25" hidden="false" customHeight="false" outlineLevel="0" collapsed="false">
      <c r="A10" s="388"/>
      <c r="B10" s="390"/>
      <c r="C10" s="398" t="s">
        <v>342</v>
      </c>
      <c r="D10" s="399"/>
      <c r="E10" s="400"/>
      <c r="F10" s="401" t="s">
        <v>296</v>
      </c>
      <c r="G10" s="402"/>
      <c r="H10" s="403" t="s">
        <v>343</v>
      </c>
      <c r="I10" s="404" t="s">
        <v>344</v>
      </c>
      <c r="J10" s="405" t="s">
        <v>345</v>
      </c>
      <c r="K10" s="390"/>
      <c r="L10" s="388"/>
      <c r="M10" s="388"/>
      <c r="N10" s="388"/>
      <c r="O10" s="388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true" outlineLevel="0" collapsed="false">
      <c r="A11" s="388"/>
      <c r="B11" s="390"/>
      <c r="C11" s="406" t="s">
        <v>346</v>
      </c>
      <c r="D11" s="407" t="s">
        <v>347</v>
      </c>
      <c r="E11" s="407"/>
      <c r="F11" s="408" t="s">
        <v>348</v>
      </c>
      <c r="G11" s="409" t="s">
        <v>349</v>
      </c>
      <c r="H11" s="409"/>
      <c r="I11" s="409"/>
      <c r="J11" s="410" t="n">
        <f aca="false">INCOME_DTL_11a!E20</f>
        <v>2086</v>
      </c>
      <c r="K11" s="390"/>
      <c r="L11" s="388"/>
      <c r="M11" s="388"/>
      <c r="N11" s="388"/>
      <c r="O11" s="388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false" outlineLevel="0" collapsed="false">
      <c r="A12" s="388"/>
      <c r="B12" s="390"/>
      <c r="C12" s="411" t="s">
        <v>350</v>
      </c>
      <c r="D12" s="407"/>
      <c r="E12" s="407"/>
      <c r="F12" s="412" t="s">
        <v>348</v>
      </c>
      <c r="G12" s="413" t="s">
        <v>351</v>
      </c>
      <c r="H12" s="413"/>
      <c r="I12" s="413"/>
      <c r="J12" s="414" t="n">
        <f aca="false">INCOME_DTL_11a!E30</f>
        <v>0</v>
      </c>
      <c r="K12" s="390"/>
      <c r="L12" s="388"/>
      <c r="M12" s="388"/>
      <c r="N12" s="388"/>
      <c r="O12" s="388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false" outlineLevel="0" collapsed="false">
      <c r="A13" s="388"/>
      <c r="B13" s="390"/>
      <c r="C13" s="415" t="n">
        <v>2</v>
      </c>
      <c r="D13" s="416" t="s">
        <v>352</v>
      </c>
      <c r="E13" s="417"/>
      <c r="F13" s="412" t="s">
        <v>348</v>
      </c>
      <c r="G13" s="418"/>
      <c r="H13" s="418"/>
      <c r="I13" s="418"/>
      <c r="J13" s="414" t="n">
        <f aca="false">INCOME_DTL_11a!E36</f>
        <v>8369.97</v>
      </c>
      <c r="K13" s="390"/>
      <c r="L13" s="388"/>
      <c r="M13" s="388"/>
      <c r="N13" s="388"/>
      <c r="O13" s="388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true" outlineLevel="0" collapsed="false">
      <c r="A14" s="388"/>
      <c r="B14" s="390"/>
      <c r="C14" s="419" t="s">
        <v>353</v>
      </c>
      <c r="D14" s="420" t="s">
        <v>354</v>
      </c>
      <c r="E14" s="420"/>
      <c r="F14" s="412" t="s">
        <v>348</v>
      </c>
      <c r="G14" s="418" t="s">
        <v>355</v>
      </c>
      <c r="H14" s="418"/>
      <c r="I14" s="418"/>
      <c r="J14" s="414" t="n">
        <f aca="false">INCOME_DTL_11a!E52</f>
        <v>0</v>
      </c>
      <c r="K14" s="390"/>
      <c r="L14" s="388"/>
      <c r="M14" s="388"/>
      <c r="N14" s="388"/>
      <c r="O14" s="388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388"/>
      <c r="B15" s="390"/>
      <c r="C15" s="421" t="s">
        <v>356</v>
      </c>
      <c r="D15" s="420"/>
      <c r="E15" s="420"/>
      <c r="F15" s="412" t="s">
        <v>357</v>
      </c>
      <c r="G15" s="418" t="s">
        <v>358</v>
      </c>
      <c r="H15" s="418"/>
      <c r="I15" s="418"/>
      <c r="J15" s="414" t="n">
        <f aca="false">INCOME_DTL_11b!G37</f>
        <v>0</v>
      </c>
      <c r="K15" s="390"/>
      <c r="L15" s="388"/>
      <c r="M15" s="388"/>
      <c r="N15" s="388"/>
      <c r="O15" s="388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true" outlineLevel="0" collapsed="false">
      <c r="A16" s="388"/>
      <c r="B16" s="390"/>
      <c r="C16" s="419" t="s">
        <v>359</v>
      </c>
      <c r="D16" s="420" t="s">
        <v>360</v>
      </c>
      <c r="E16" s="420"/>
      <c r="F16" s="412" t="s">
        <v>361</v>
      </c>
      <c r="G16" s="422" t="s">
        <v>362</v>
      </c>
      <c r="H16" s="422"/>
      <c r="I16" s="422"/>
      <c r="J16" s="414" t="n">
        <f aca="false">TRANSFER_IN_9!F38+TRANSFER_IN_9b!F32+TRANSFER_IN_9c!F32+TRANSFER_IN_9d!F55</f>
        <v>18812.36</v>
      </c>
      <c r="K16" s="390"/>
      <c r="L16" s="388"/>
      <c r="M16" s="388"/>
      <c r="N16" s="388"/>
      <c r="O16" s="388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A17" s="388"/>
      <c r="B17" s="390"/>
      <c r="C17" s="421" t="s">
        <v>363</v>
      </c>
      <c r="D17" s="420"/>
      <c r="E17" s="420"/>
      <c r="F17" s="412" t="s">
        <v>361</v>
      </c>
      <c r="G17" s="422" t="s">
        <v>364</v>
      </c>
      <c r="H17" s="422"/>
      <c r="I17" s="422"/>
      <c r="J17" s="414" t="n">
        <f aca="false">TRANSFER_IN_9!F58+TRANSFER_IN_9b!F54+TRANSFER_IN_9c!F54</f>
        <v>10910.76</v>
      </c>
      <c r="K17" s="390"/>
      <c r="L17" s="388"/>
      <c r="M17" s="388"/>
      <c r="N17" s="388"/>
      <c r="O17" s="388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A18" s="388"/>
      <c r="B18" s="390"/>
      <c r="C18" s="411" t="n">
        <v>5</v>
      </c>
      <c r="D18" s="423" t="s">
        <v>365</v>
      </c>
      <c r="E18" s="423"/>
      <c r="F18" s="423"/>
      <c r="G18" s="423"/>
      <c r="H18" s="423"/>
      <c r="I18" s="423"/>
      <c r="J18" s="424" t="n">
        <f aca="false">2.82+2.54+2.82+2.72+2.82+2.72+2.82+2.82+2.72+2.82+2.72+2.8</f>
        <v>33.14</v>
      </c>
      <c r="K18" s="390"/>
      <c r="L18" s="388"/>
      <c r="M18" s="388"/>
      <c r="N18" s="388"/>
      <c r="O18" s="388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14.25" hidden="false" customHeight="false" outlineLevel="0" collapsed="false">
      <c r="A19" s="388"/>
      <c r="B19" s="390"/>
      <c r="C19" s="419" t="n">
        <v>6</v>
      </c>
      <c r="D19" s="416" t="s">
        <v>366</v>
      </c>
      <c r="E19" s="425"/>
      <c r="F19" s="426" t="s">
        <v>307</v>
      </c>
      <c r="G19" s="427" t="s">
        <v>367</v>
      </c>
      <c r="H19" s="428" t="n">
        <f aca="false">INVENTORY_DTL_6!M30+INVENTORY_DTL_6b!M30</f>
        <v>0</v>
      </c>
      <c r="I19" s="429" t="n">
        <f aca="false">INVENTORY_DTL_6!M29+INVENTORY_DTL_6b!M29</f>
        <v>0</v>
      </c>
      <c r="J19" s="414" t="n">
        <f aca="false">H19-I19</f>
        <v>0</v>
      </c>
      <c r="K19" s="390"/>
      <c r="L19" s="388"/>
      <c r="M19" s="388"/>
      <c r="N19" s="388"/>
      <c r="O19" s="388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14.25" hidden="false" customHeight="false" outlineLevel="0" collapsed="false">
      <c r="A20" s="388"/>
      <c r="B20" s="390"/>
      <c r="C20" s="419" t="n">
        <v>7</v>
      </c>
      <c r="D20" s="425" t="s">
        <v>368</v>
      </c>
      <c r="E20" s="430"/>
      <c r="F20" s="426" t="s">
        <v>309</v>
      </c>
      <c r="G20" s="431"/>
      <c r="H20" s="431"/>
      <c r="I20" s="431"/>
      <c r="J20" s="432" t="n">
        <f aca="false">REGALIA_SALES_DTL_7!I53+REGALIA_SALES_DTL_7b!I53</f>
        <v>0</v>
      </c>
      <c r="K20" s="390"/>
      <c r="L20" s="388"/>
      <c r="M20" s="388"/>
      <c r="N20" s="388"/>
      <c r="O20" s="388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14.25" hidden="false" customHeight="false" outlineLevel="0" collapsed="false">
      <c r="A21" s="388"/>
      <c r="B21" s="390"/>
      <c r="C21" s="415" t="n">
        <v>8</v>
      </c>
      <c r="D21" s="416" t="s">
        <v>369</v>
      </c>
      <c r="E21" s="416"/>
      <c r="F21" s="412" t="s">
        <v>319</v>
      </c>
      <c r="G21" s="423"/>
      <c r="H21" s="423"/>
      <c r="I21" s="423"/>
      <c r="J21" s="414" t="n">
        <f aca="false">NEWSLETTER_15!E17</f>
        <v>0</v>
      </c>
      <c r="K21" s="390"/>
      <c r="L21" s="388"/>
      <c r="M21" s="388"/>
      <c r="N21" s="388"/>
      <c r="O21" s="388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14.25" hidden="false" customHeight="false" outlineLevel="0" collapsed="false">
      <c r="A22" s="433"/>
      <c r="B22" s="390"/>
      <c r="C22" s="415" t="n">
        <v>9</v>
      </c>
      <c r="D22" s="416" t="s">
        <v>370</v>
      </c>
      <c r="E22" s="416"/>
      <c r="F22" s="412" t="s">
        <v>357</v>
      </c>
      <c r="G22" s="427" t="s">
        <v>367</v>
      </c>
      <c r="H22" s="428" t="n">
        <f aca="false">INCOME_DTL_11b!E43</f>
        <v>0</v>
      </c>
      <c r="I22" s="429" t="n">
        <f aca="false">INCOME_DTL_11b!F43</f>
        <v>0</v>
      </c>
      <c r="J22" s="414" t="n">
        <f aca="false">H22-I22</f>
        <v>0</v>
      </c>
      <c r="K22" s="390"/>
      <c r="L22" s="433"/>
      <c r="M22" s="433"/>
      <c r="N22" s="433"/>
      <c r="O22" s="433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14.25" hidden="false" customHeight="false" outlineLevel="0" collapsed="false">
      <c r="A23" s="434"/>
      <c r="B23" s="390"/>
      <c r="C23" s="435" t="n">
        <v>10</v>
      </c>
      <c r="D23" s="436" t="s">
        <v>371</v>
      </c>
      <c r="E23" s="436"/>
      <c r="F23" s="437" t="s">
        <v>357</v>
      </c>
      <c r="G23" s="438"/>
      <c r="H23" s="438"/>
      <c r="I23" s="438"/>
      <c r="J23" s="439" t="n">
        <f aca="false">INCOME_DTL_11b!G56</f>
        <v>0</v>
      </c>
      <c r="K23" s="390"/>
      <c r="L23" s="434"/>
      <c r="M23" s="434"/>
      <c r="N23" s="434"/>
      <c r="O23" s="434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4.25" hidden="false" customHeight="false" outlineLevel="0" collapsed="false">
      <c r="A24" s="388"/>
      <c r="B24" s="440"/>
      <c r="C24" s="441" t="n">
        <v>11</v>
      </c>
      <c r="D24" s="442" t="s">
        <v>372</v>
      </c>
      <c r="E24" s="443"/>
      <c r="F24" s="443"/>
      <c r="G24" s="443"/>
      <c r="H24" s="443"/>
      <c r="I24" s="444" t="s">
        <v>373</v>
      </c>
      <c r="J24" s="445" t="n">
        <f aca="false">SUM(J11:J23)</f>
        <v>40212.23</v>
      </c>
      <c r="K24" s="440"/>
      <c r="L24" s="388"/>
      <c r="M24" s="388"/>
      <c r="N24" s="388"/>
      <c r="O24" s="388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14.25" hidden="false" customHeight="false" outlineLevel="0" collapsed="false">
      <c r="A25" s="388"/>
      <c r="B25" s="446"/>
      <c r="C25" s="447"/>
      <c r="D25" s="448"/>
      <c r="E25" s="448"/>
      <c r="F25" s="448"/>
      <c r="G25" s="448"/>
      <c r="H25" s="448"/>
      <c r="I25" s="448"/>
      <c r="J25" s="449"/>
      <c r="K25" s="446"/>
      <c r="L25" s="388"/>
      <c r="M25" s="388"/>
      <c r="N25" s="388"/>
      <c r="O25" s="388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9.7" hidden="false" customHeight="false" outlineLevel="0" collapsed="false">
      <c r="A26" s="388"/>
      <c r="B26" s="390"/>
      <c r="C26" s="398" t="s">
        <v>374</v>
      </c>
      <c r="D26" s="450"/>
      <c r="E26" s="451"/>
      <c r="F26" s="401" t="s">
        <v>296</v>
      </c>
      <c r="G26" s="452" t="s">
        <v>375</v>
      </c>
      <c r="H26" s="453" t="s">
        <v>376</v>
      </c>
      <c r="I26" s="453" t="s">
        <v>377</v>
      </c>
      <c r="J26" s="454" t="s">
        <v>378</v>
      </c>
      <c r="K26" s="455"/>
      <c r="L26" s="388"/>
      <c r="M26" s="388"/>
      <c r="N26" s="388"/>
      <c r="O26" s="388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false" outlineLevel="0" collapsed="false">
      <c r="A27" s="388"/>
      <c r="B27" s="390"/>
      <c r="C27" s="419" t="n">
        <v>12</v>
      </c>
      <c r="D27" s="390" t="s">
        <v>379</v>
      </c>
      <c r="E27" s="390"/>
      <c r="F27" s="456" t="s">
        <v>380</v>
      </c>
      <c r="G27" s="457"/>
      <c r="H27" s="458" t="n">
        <f aca="false">SUMIF(EXPENSE_DTL_12a!C12:C22,"AR",EXPENSE_DTL_12a!F12:F22)</f>
        <v>0</v>
      </c>
      <c r="I27" s="459"/>
      <c r="J27" s="460" t="n">
        <f aca="false">SUM(G27:I27)</f>
        <v>0</v>
      </c>
      <c r="K27" s="390"/>
      <c r="L27" s="388"/>
      <c r="M27" s="388"/>
      <c r="N27" s="388"/>
      <c r="O27" s="388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A28" s="388"/>
      <c r="B28" s="390"/>
      <c r="C28" s="419" t="n">
        <v>13</v>
      </c>
      <c r="D28" s="425" t="s">
        <v>381</v>
      </c>
      <c r="E28" s="425"/>
      <c r="F28" s="461" t="s">
        <v>380</v>
      </c>
      <c r="G28" s="462" t="n">
        <f aca="false">SUMIF(EXPENSE_DTL_12a!C27:C38,"OA",EXPENSE_DTL_12a!F27:F38)</f>
        <v>0</v>
      </c>
      <c r="H28" s="463" t="n">
        <f aca="false">SUMIF(EXPENSE_DTL_12a!C27:C38,"AR",EXPENSE_DTL_12a!F27:F38)</f>
        <v>0</v>
      </c>
      <c r="I28" s="464" t="n">
        <f aca="false">SUMIF(EXPENSE_DTL_12a!C27:C38,"FR",EXPENSE_DTL_12a!F27:F38)</f>
        <v>0</v>
      </c>
      <c r="J28" s="432" t="n">
        <f aca="false">SUM(G28:I28)</f>
        <v>0</v>
      </c>
      <c r="K28" s="390"/>
      <c r="L28" s="388"/>
      <c r="M28" s="388"/>
      <c r="N28" s="388"/>
      <c r="O28" s="388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A29" s="388"/>
      <c r="B29" s="390"/>
      <c r="C29" s="419" t="n">
        <v>14</v>
      </c>
      <c r="D29" s="425" t="s">
        <v>382</v>
      </c>
      <c r="E29" s="425"/>
      <c r="F29" s="461"/>
      <c r="G29" s="465"/>
      <c r="H29" s="466"/>
      <c r="I29" s="467"/>
      <c r="J29" s="432" t="n">
        <f aca="false">SUM(G29:I29)</f>
        <v>0</v>
      </c>
      <c r="K29" s="390"/>
      <c r="L29" s="388"/>
      <c r="M29" s="388"/>
      <c r="N29" s="388"/>
      <c r="O29" s="388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4.25" hidden="false" customHeight="false" outlineLevel="0" collapsed="false">
      <c r="A30" s="388"/>
      <c r="B30" s="390"/>
      <c r="C30" s="419" t="n">
        <v>15</v>
      </c>
      <c r="D30" s="425" t="s">
        <v>383</v>
      </c>
      <c r="E30" s="425"/>
      <c r="F30" s="461" t="s">
        <v>311</v>
      </c>
      <c r="G30" s="462" t="n">
        <f aca="false">SUMIF(DEPR_DTL_8!$D14:$D23,"OA",DEPR_DTL_8!$L14:$L23)+SUMIF(DEPR_DTL_8!$D32:$D41,"OA",DEPR_DTL_8!$L32:$L41)+SUMIF(DEPR_DTL_8b!$D14:$D53,"OA",DEPR_DTL_8b!$L14:$L53)</f>
        <v>0</v>
      </c>
      <c r="H30" s="463" t="n">
        <f aca="false">SUMIF(DEPR_DTL_8!$D14:$D23,"AR",DEPR_DTL_8!$L14:$L23)+SUMIF(DEPR_DTL_8!$D32:$D41,"AR",DEPR_DTL_8!$L32:$L41)+SUMIF(DEPR_DTL_8b!$D14:$D53,"AR",DEPR_DTL_8b!$L14:$L53)+SUMIF(DEPR_DTL_8c!$D14:$D53,"AR",DEPR_DTL_8c!$L14:$L53)</f>
        <v>0</v>
      </c>
      <c r="I30" s="464" t="n">
        <f aca="false">SUMIF(DEPR_DTL_8!$D14:$D23,"FR",DEPR_DTL_8!$L14:$L23)+SUMIF(DEPR_DTL_8!$D32:$D41,"FR",DEPR_DTL_8!$L32:$L41)+SUMIF(DEPR_DTL_8b!$D14:$D53,"FR",DEPR_DTL_8b!$L14:$L53)</f>
        <v>0</v>
      </c>
      <c r="J30" s="432" t="n">
        <f aca="false">SUM(G30:I30)</f>
        <v>0</v>
      </c>
      <c r="K30" s="390"/>
      <c r="L30" s="388"/>
      <c r="M30" s="388"/>
      <c r="N30" s="388"/>
      <c r="O30" s="388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14.25" hidden="false" customHeight="false" outlineLevel="0" collapsed="false">
      <c r="A31" s="388"/>
      <c r="B31" s="390"/>
      <c r="C31" s="419" t="n">
        <v>16</v>
      </c>
      <c r="D31" s="425" t="s">
        <v>384</v>
      </c>
      <c r="E31" s="425"/>
      <c r="F31" s="461"/>
      <c r="G31" s="465" t="n">
        <f aca="false">251.22+83.74</f>
        <v>334.96</v>
      </c>
      <c r="H31" s="466" t="n">
        <f aca="false">2997.79</f>
        <v>2997.79</v>
      </c>
      <c r="I31" s="467"/>
      <c r="J31" s="432" t="n">
        <f aca="false">SUM(G31:I31)</f>
        <v>3332.75</v>
      </c>
      <c r="K31" s="390"/>
      <c r="L31" s="388"/>
      <c r="M31" s="388"/>
      <c r="N31" s="388"/>
      <c r="O31" s="388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A32" s="388"/>
      <c r="B32" s="390"/>
      <c r="C32" s="419" t="n">
        <v>17</v>
      </c>
      <c r="D32" s="425" t="s">
        <v>385</v>
      </c>
      <c r="E32" s="425"/>
      <c r="F32" s="461" t="s">
        <v>380</v>
      </c>
      <c r="G32" s="462" t="n">
        <f aca="false">SUMIF(EXPENSE_DTL_12a!C43:C54,"OA",EXPENSE_DTL_12a!F43:F54)</f>
        <v>1409.21</v>
      </c>
      <c r="H32" s="463" t="n">
        <f aca="false">SUMIF(EXPENSE_DTL_12a!C43:C54,"AR",EXPENSE_DTL_12a!F43:F54)</f>
        <v>0</v>
      </c>
      <c r="I32" s="464" t="n">
        <f aca="false">SUMIF(EXPENSE_DTL_12a!C43:C54,"FR",EXPENSE_DTL_12a!F43:F54)</f>
        <v>0</v>
      </c>
      <c r="J32" s="432" t="n">
        <f aca="false">SUM(G32:I32)</f>
        <v>1409.21</v>
      </c>
      <c r="K32" s="390"/>
      <c r="L32" s="388"/>
      <c r="M32" s="388"/>
      <c r="N32" s="388"/>
      <c r="O32" s="388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A33" s="388"/>
      <c r="B33" s="390"/>
      <c r="C33" s="419" t="n">
        <v>18</v>
      </c>
      <c r="D33" s="425" t="s">
        <v>386</v>
      </c>
      <c r="E33" s="425"/>
      <c r="F33" s="461"/>
      <c r="G33" s="465"/>
      <c r="H33" s="466" t="n">
        <f aca="false">84.89+338+193.43+252.61</f>
        <v>868.93</v>
      </c>
      <c r="I33" s="467"/>
      <c r="J33" s="432" t="n">
        <f aca="false">SUM(G33:I33)</f>
        <v>868.93</v>
      </c>
      <c r="K33" s="390"/>
      <c r="L33" s="388"/>
      <c r="M33" s="388"/>
      <c r="N33" s="388"/>
      <c r="O33" s="388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A34" s="388"/>
      <c r="B34" s="390"/>
      <c r="C34" s="419" t="n">
        <v>19</v>
      </c>
      <c r="D34" s="425" t="s">
        <v>387</v>
      </c>
      <c r="E34" s="425"/>
      <c r="F34" s="461"/>
      <c r="G34" s="465"/>
      <c r="H34" s="466" t="n">
        <f aca="false">1600+283.27+11.8+1060+335.85+99.31+76.68+12.1+27.29+253.24</f>
        <v>3759.54</v>
      </c>
      <c r="I34" s="467"/>
      <c r="J34" s="432" t="n">
        <f aca="false">SUM(G34:I34)</f>
        <v>3759.54</v>
      </c>
      <c r="K34" s="390"/>
      <c r="L34" s="388"/>
      <c r="M34" s="388"/>
      <c r="N34" s="388"/>
      <c r="O34" s="388"/>
      <c r="P34" s="79" t="s">
        <v>79</v>
      </c>
      <c r="Q34" s="78"/>
      <c r="R34" s="78"/>
      <c r="S34" s="78"/>
      <c r="T34" s="79" t="s">
        <v>87</v>
      </c>
    </row>
    <row r="35" customFormat="false" ht="14.25" hidden="false" customHeight="false" outlineLevel="0" collapsed="false">
      <c r="A35" s="388"/>
      <c r="B35" s="390"/>
      <c r="C35" s="419" t="n">
        <v>20</v>
      </c>
      <c r="D35" s="425" t="s">
        <v>388</v>
      </c>
      <c r="E35" s="425"/>
      <c r="F35" s="461" t="s">
        <v>389</v>
      </c>
      <c r="G35" s="462" t="n">
        <v>0</v>
      </c>
      <c r="H35" s="463" t="n">
        <f aca="false">EXPENSE_DTL_12b!I16</f>
        <v>0</v>
      </c>
      <c r="I35" s="464" t="n">
        <v>0</v>
      </c>
      <c r="J35" s="432" t="n">
        <f aca="false">SUM(G35:I35)</f>
        <v>0</v>
      </c>
      <c r="K35" s="390"/>
      <c r="L35" s="388"/>
      <c r="M35" s="388"/>
      <c r="N35" s="388"/>
      <c r="O35" s="388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A36" s="388"/>
      <c r="B36" s="390"/>
      <c r="C36" s="419" t="n">
        <v>21</v>
      </c>
      <c r="D36" s="425" t="s">
        <v>390</v>
      </c>
      <c r="E36" s="425"/>
      <c r="F36" s="461"/>
      <c r="G36" s="465" t="n">
        <f aca="false">1812.6+500+87.97+253+339.4</f>
        <v>2992.97</v>
      </c>
      <c r="H36" s="466" t="n">
        <f aca="false">852.13+278.86+178.34+363.64+1243.8+290.74+367.8+8836.16</f>
        <v>12411.47</v>
      </c>
      <c r="I36" s="467"/>
      <c r="J36" s="432" t="n">
        <f aca="false">SUM(G36:I36)</f>
        <v>15404.44</v>
      </c>
      <c r="K36" s="390"/>
      <c r="L36" s="388"/>
      <c r="M36" s="388"/>
      <c r="N36" s="388"/>
      <c r="O36" s="388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A37" s="388"/>
      <c r="B37" s="390"/>
      <c r="C37" s="419" t="n">
        <v>22</v>
      </c>
      <c r="D37" s="425" t="s">
        <v>391</v>
      </c>
      <c r="E37" s="425"/>
      <c r="F37" s="461"/>
      <c r="G37" s="465" t="n">
        <f aca="false">5.55+156+78+15.3</f>
        <v>254.85</v>
      </c>
      <c r="H37" s="466"/>
      <c r="I37" s="467"/>
      <c r="J37" s="432" t="n">
        <f aca="false">SUM(G37:I37)</f>
        <v>254.85</v>
      </c>
      <c r="K37" s="390"/>
      <c r="L37" s="388"/>
      <c r="M37" s="388"/>
      <c r="N37" s="388"/>
      <c r="O37" s="388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A38" s="388"/>
      <c r="B38" s="390"/>
      <c r="C38" s="419" t="n">
        <v>23</v>
      </c>
      <c r="D38" s="425" t="s">
        <v>392</v>
      </c>
      <c r="E38" s="425"/>
      <c r="F38" s="461"/>
      <c r="G38" s="465"/>
      <c r="H38" s="466" t="n">
        <f aca="false">50.65</f>
        <v>50.65</v>
      </c>
      <c r="I38" s="467"/>
      <c r="J38" s="432" t="n">
        <f aca="false">SUM(G38:I38)</f>
        <v>50.65</v>
      </c>
      <c r="K38" s="390"/>
      <c r="L38" s="388"/>
      <c r="M38" s="388"/>
      <c r="N38" s="388"/>
      <c r="O38" s="388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A39" s="388"/>
      <c r="B39" s="390"/>
      <c r="C39" s="419" t="n">
        <v>24</v>
      </c>
      <c r="D39" s="425" t="s">
        <v>393</v>
      </c>
      <c r="E39" s="425"/>
      <c r="F39" s="461" t="s">
        <v>309</v>
      </c>
      <c r="G39" s="462" t="n">
        <v>0</v>
      </c>
      <c r="H39" s="463" t="n">
        <f aca="false">REGALIA_SALES_DTL_7!H52+REGALIA_SALES_DTL_7b!H52</f>
        <v>0</v>
      </c>
      <c r="I39" s="464" t="n">
        <v>0</v>
      </c>
      <c r="J39" s="432" t="n">
        <f aca="false">SUM(G39:I39)</f>
        <v>0</v>
      </c>
      <c r="K39" s="390"/>
      <c r="L39" s="388"/>
      <c r="M39" s="388"/>
      <c r="N39" s="388"/>
      <c r="O39" s="388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A40" s="388"/>
      <c r="B40" s="390"/>
      <c r="C40" s="419" t="n">
        <v>25</v>
      </c>
      <c r="D40" s="425" t="s">
        <v>394</v>
      </c>
      <c r="E40" s="425"/>
      <c r="F40" s="425"/>
      <c r="G40" s="465"/>
      <c r="H40" s="466"/>
      <c r="I40" s="467"/>
      <c r="J40" s="432" t="n">
        <f aca="false">SUM(G40:I40)</f>
        <v>0</v>
      </c>
      <c r="K40" s="390"/>
      <c r="L40" s="388"/>
      <c r="M40" s="388"/>
      <c r="N40" s="388"/>
      <c r="O40" s="388"/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A41" s="388"/>
      <c r="B41" s="390"/>
      <c r="C41" s="419" t="n">
        <v>26</v>
      </c>
      <c r="D41" s="425" t="s">
        <v>395</v>
      </c>
      <c r="E41" s="425"/>
      <c r="F41" s="425"/>
      <c r="G41" s="468" t="n">
        <f aca="false">34.76+19.72+160.6</f>
        <v>215.08</v>
      </c>
      <c r="H41" s="466" t="n">
        <f aca="false">781.6+443.23+1244.12+584.38+172.5+13.45+41.98</f>
        <v>3281.26</v>
      </c>
      <c r="I41" s="466"/>
      <c r="J41" s="432" t="n">
        <f aca="false">SUM(G41:I41)</f>
        <v>3496.34</v>
      </c>
      <c r="K41" s="390"/>
      <c r="L41" s="388"/>
      <c r="M41" s="469"/>
      <c r="N41" s="469"/>
      <c r="O41" s="469"/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A42" s="388"/>
      <c r="B42" s="390"/>
      <c r="C42" s="470" t="n">
        <v>27</v>
      </c>
      <c r="D42" s="471" t="s">
        <v>396</v>
      </c>
      <c r="E42" s="472"/>
      <c r="F42" s="472"/>
      <c r="G42" s="473" t="n">
        <f aca="false">SUM(G27:G41)</f>
        <v>5207.07</v>
      </c>
      <c r="H42" s="474" t="n">
        <f aca="false">SUM(H27:H41)</f>
        <v>23369.64</v>
      </c>
      <c r="I42" s="474" t="n">
        <f aca="false">SUM(I27:I41)</f>
        <v>0</v>
      </c>
      <c r="J42" s="475" t="n">
        <f aca="false">SUM(J27:J41)</f>
        <v>28576.71</v>
      </c>
      <c r="K42" s="390"/>
      <c r="L42" s="388"/>
      <c r="M42" s="388"/>
      <c r="N42" s="388"/>
      <c r="O42" s="388"/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A43" s="388"/>
      <c r="B43" s="390"/>
      <c r="C43" s="411" t="n">
        <v>28</v>
      </c>
      <c r="D43" s="476" t="s">
        <v>397</v>
      </c>
      <c r="E43" s="477"/>
      <c r="F43" s="477"/>
      <c r="G43" s="478"/>
      <c r="H43" s="478"/>
      <c r="I43" s="479" t="s">
        <v>389</v>
      </c>
      <c r="J43" s="460" t="n">
        <f aca="false">EXPENSE_DTL_12b!I27</f>
        <v>0</v>
      </c>
      <c r="K43" s="390"/>
      <c r="L43" s="388"/>
      <c r="M43" s="388"/>
      <c r="N43" s="388"/>
      <c r="O43" s="388"/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A44" s="388"/>
      <c r="B44" s="390"/>
      <c r="C44" s="419" t="n">
        <v>29</v>
      </c>
      <c r="D44" s="427" t="s">
        <v>398</v>
      </c>
      <c r="E44" s="427"/>
      <c r="F44" s="427"/>
      <c r="G44" s="427"/>
      <c r="H44" s="427"/>
      <c r="I44" s="480" t="s">
        <v>389</v>
      </c>
      <c r="J44" s="432" t="n">
        <f aca="false">EXPENSE_DTL_12b!I56</f>
        <v>74.2</v>
      </c>
      <c r="K44" s="390"/>
      <c r="L44" s="388"/>
      <c r="M44" s="388"/>
      <c r="N44" s="388"/>
      <c r="O44" s="388"/>
      <c r="P44" s="78"/>
      <c r="Q44" s="78"/>
      <c r="R44" s="78"/>
      <c r="S44" s="78"/>
      <c r="T44" s="78"/>
    </row>
    <row r="45" customFormat="false" ht="14.25" hidden="false" customHeight="false" outlineLevel="0" collapsed="false">
      <c r="A45" s="388"/>
      <c r="B45" s="390"/>
      <c r="C45" s="419" t="s">
        <v>399</v>
      </c>
      <c r="D45" s="481" t="s">
        <v>400</v>
      </c>
      <c r="E45" s="481"/>
      <c r="F45" s="481"/>
      <c r="G45" s="427"/>
      <c r="H45" s="482" t="s">
        <v>401</v>
      </c>
      <c r="I45" s="480" t="s">
        <v>402</v>
      </c>
      <c r="J45" s="414" t="n">
        <f aca="false">TRANSFER_OUT_10!F25+TRANSFER_OUT_10b!F28+TRANSFER_OUT_10c!F28+TRANSFER_OUT_10d!F28</f>
        <v>2100.37</v>
      </c>
      <c r="K45" s="390"/>
      <c r="L45" s="388"/>
      <c r="M45" s="388"/>
      <c r="N45" s="388"/>
      <c r="O45" s="388"/>
      <c r="P45" s="78"/>
      <c r="Q45" s="78"/>
      <c r="R45" s="78"/>
      <c r="S45" s="78"/>
      <c r="T45" s="78"/>
    </row>
    <row r="46" customFormat="false" ht="14.25" hidden="false" customHeight="false" outlineLevel="0" collapsed="false">
      <c r="A46" s="433"/>
      <c r="B46" s="390"/>
      <c r="C46" s="411" t="s">
        <v>403</v>
      </c>
      <c r="D46" s="481"/>
      <c r="E46" s="481"/>
      <c r="F46" s="481"/>
      <c r="G46" s="481"/>
      <c r="H46" s="483" t="s">
        <v>404</v>
      </c>
      <c r="I46" s="461" t="s">
        <v>402</v>
      </c>
      <c r="J46" s="460" t="n">
        <f aca="false">TRANSFER_OUT_10!F52+TRANSFER_OUT_10b!F42+TRANSFER_OUT_10b!F54+TRANSFER_OUT_10c!F42+TRANSFER_OUT_10c!F54+TRANSFER_OUT_10d!F42+TRANSFER_OUT_10d!F54</f>
        <v>15689.17</v>
      </c>
      <c r="K46" s="390"/>
      <c r="L46" s="433"/>
      <c r="M46" s="433"/>
      <c r="N46" s="433"/>
      <c r="O46" s="433"/>
      <c r="Q46" s="78"/>
      <c r="R46" s="78"/>
      <c r="S46" s="78"/>
      <c r="T46" s="78"/>
    </row>
    <row r="47" customFormat="false" ht="15" hidden="false" customHeight="false" outlineLevel="0" collapsed="false">
      <c r="A47" s="312"/>
      <c r="B47" s="440"/>
      <c r="C47" s="484" t="n">
        <v>31</v>
      </c>
      <c r="D47" s="485" t="s">
        <v>405</v>
      </c>
      <c r="E47" s="486"/>
      <c r="F47" s="486"/>
      <c r="G47" s="486"/>
      <c r="H47" s="486"/>
      <c r="I47" s="487" t="s">
        <v>406</v>
      </c>
      <c r="J47" s="488" t="n">
        <f aca="false">SUM(J42:J46)</f>
        <v>46440.45</v>
      </c>
      <c r="K47" s="440"/>
      <c r="L47" s="469"/>
      <c r="M47" s="469"/>
      <c r="N47" s="469"/>
      <c r="O47" s="469"/>
      <c r="Q47" s="78"/>
      <c r="R47" s="78"/>
      <c r="S47" s="78"/>
      <c r="T47" s="78"/>
    </row>
    <row r="48" customFormat="false" ht="14.25" hidden="false" customHeight="false" outlineLevel="0" collapsed="false">
      <c r="A48" s="361"/>
      <c r="B48" s="440"/>
      <c r="C48" s="489" t="n">
        <v>32</v>
      </c>
      <c r="D48" s="490" t="s">
        <v>407</v>
      </c>
      <c r="E48" s="491"/>
      <c r="F48" s="491"/>
      <c r="G48" s="491"/>
      <c r="H48" s="491"/>
      <c r="I48" s="492" t="s">
        <v>408</v>
      </c>
      <c r="J48" s="493" t="n">
        <f aca="false">J24-J47</f>
        <v>-6228.22</v>
      </c>
      <c r="K48" s="440"/>
      <c r="L48" s="361"/>
      <c r="M48" s="361"/>
      <c r="N48" s="361"/>
      <c r="O48" s="361"/>
      <c r="S48" s="78"/>
    </row>
    <row r="49" customFormat="false" ht="15" hidden="false" customHeight="false" outlineLevel="0" collapsed="false">
      <c r="A49" s="305"/>
      <c r="B49" s="315"/>
      <c r="C49" s="373" t="s">
        <v>336</v>
      </c>
      <c r="D49" s="311"/>
      <c r="E49" s="311" t="s">
        <v>337</v>
      </c>
      <c r="F49" s="311" t="s">
        <v>338</v>
      </c>
      <c r="G49" s="311"/>
      <c r="H49" s="374"/>
      <c r="I49" s="315"/>
      <c r="J49" s="315"/>
      <c r="K49" s="315"/>
      <c r="L49" s="305"/>
      <c r="M49" s="305"/>
      <c r="N49" s="305"/>
      <c r="O49" s="305"/>
      <c r="S49" s="78"/>
    </row>
    <row r="50" customFormat="false" ht="15" hidden="false" customHeight="false" outlineLevel="0" collapsed="false">
      <c r="A50" s="305"/>
      <c r="B50" s="372"/>
      <c r="C50" s="494" t="s">
        <v>248</v>
      </c>
      <c r="D50" s="495"/>
      <c r="E50" s="376" t="str">
        <f aca="false">IF(Contents!$C$10="","",Contents!$C$10)</f>
        <v>David Young</v>
      </c>
      <c r="F50" s="495"/>
      <c r="G50" s="496"/>
      <c r="H50" s="496"/>
      <c r="I50" s="497" t="s">
        <v>249</v>
      </c>
      <c r="J50" s="379"/>
      <c r="K50" s="390"/>
      <c r="L50" s="305"/>
      <c r="M50" s="305"/>
      <c r="N50" s="305"/>
      <c r="O50" s="305"/>
    </row>
    <row r="51" customFormat="false" ht="15" hidden="false" customHeight="false" outlineLevel="0" collapsed="false">
      <c r="A51" s="388"/>
      <c r="B51" s="6"/>
      <c r="C51" s="498" t="s">
        <v>247</v>
      </c>
      <c r="D51" s="499"/>
      <c r="E51" s="381" t="str">
        <f aca="false">IF(Contents!$C$9="","",Contents!$C$9)</f>
        <v>Lisa Gray</v>
      </c>
      <c r="F51" s="499"/>
      <c r="G51" s="500"/>
      <c r="H51" s="500"/>
      <c r="I51" s="501" t="s">
        <v>249</v>
      </c>
      <c r="J51" s="384"/>
      <c r="K51" s="390"/>
      <c r="L51" s="388"/>
      <c r="M51" s="388"/>
      <c r="N51" s="388"/>
      <c r="O51" s="388"/>
    </row>
    <row r="52" customFormat="false" ht="14.25" hidden="false" customHeight="false" outlineLevel="0" collapsed="false">
      <c r="A52" s="388"/>
      <c r="B52" s="6"/>
      <c r="C52" s="386" t="s">
        <v>409</v>
      </c>
      <c r="D52" s="386"/>
      <c r="E52" s="386"/>
      <c r="F52" s="386"/>
      <c r="G52" s="386"/>
      <c r="H52" s="386"/>
      <c r="I52" s="386"/>
      <c r="J52" s="386"/>
      <c r="K52" s="6"/>
      <c r="L52" s="388"/>
      <c r="M52" s="388"/>
      <c r="N52" s="388"/>
      <c r="O52" s="388"/>
    </row>
  </sheetData>
  <sheetProtection algorithmName="SHA-512" hashValue="9h+V96Ew1EAeFpCGq5xrMwvfbot50k8GH7Any9LB26kZE4I9FEwU1WFvqacF8nKmPldjHkxu0Ez/jri/XEdp9Q==" saltValue="Q3HfF2ZKx6SBNdFe0HKmXw==" spinCount="100000" sheet="true" objects="true" scenarios="true"/>
  <mergeCells count="22">
    <mergeCell ref="C3:J3"/>
    <mergeCell ref="C4:J4"/>
    <mergeCell ref="C6:J6"/>
    <mergeCell ref="D8:J8"/>
    <mergeCell ref="D11:E12"/>
    <mergeCell ref="G11:I11"/>
    <mergeCell ref="G12:I12"/>
    <mergeCell ref="G13:I13"/>
    <mergeCell ref="D14:E15"/>
    <mergeCell ref="G14:I14"/>
    <mergeCell ref="G15:I15"/>
    <mergeCell ref="D16:E17"/>
    <mergeCell ref="G16:I16"/>
    <mergeCell ref="G17:I17"/>
    <mergeCell ref="D18:I18"/>
    <mergeCell ref="G20:I20"/>
    <mergeCell ref="G21:I21"/>
    <mergeCell ref="G23:I23"/>
    <mergeCell ref="D25:I25"/>
    <mergeCell ref="D44:H44"/>
    <mergeCell ref="D45:F46"/>
    <mergeCell ref="C52:J52"/>
  </mergeCells>
  <conditionalFormatting sqref="J43:J47 G27:J42 J11:J23 H19:I19 H22:I22">
    <cfRule type="cellIs" priority="2" operator="lessThan" aboveAverage="0" equalAverage="0" bottom="0" percent="0" rank="0" text="" dxfId="21">
      <formula>0</formula>
    </cfRule>
  </conditionalFormatting>
  <dataValidations count="2">
    <dataValidation allowBlank="true" error="Enter a dollar amount." errorStyle="stop" operator="greaterThanOrEqual" showDropDown="false" showErrorMessage="true" showInputMessage="true" sqref="J18 G29:I29 G31:I31 G33:I34 G36:I38 G40:I41" type="decimal">
      <formula1>-999999999</formula1>
      <formula2>0</formula2>
    </dataValidation>
    <dataValidation allowBlank="true" error="Enter a dollar amount greater than zero." errorStyle="stop" operator="greaterThan" showDropDown="false" showErrorMessage="true" showInputMessage="true" sqref="J19 J22 G32:I32" type="none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63"/>
  <sheetViews>
    <sheetView showFormulas="false" showGridLines="true" showRowColHeaders="true" showZeros="true" rightToLeft="false" tabSelected="false" showOutlineSymbols="true" defaultGridColor="true" view="normal" topLeftCell="A8" colorId="64" zoomScale="100" zoomScaleNormal="100" zoomScalePageLayoutView="100" workbookViewId="0">
      <selection pane="topLeft" activeCell="C17" activeCellId="0" sqref="C17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32.62"/>
    <col collapsed="false" customWidth="true" hidden="false" outlineLevel="0" max="4" min="4" style="1" width="18.62"/>
    <col collapsed="false" customWidth="true" hidden="false" outlineLevel="0" max="5" min="5" style="1" width="15.62"/>
    <col collapsed="false" customWidth="true" hidden="false" outlineLevel="0" max="7" min="6" style="1" width="18.62"/>
    <col collapsed="false" customWidth="true" hidden="false" outlineLevel="0" max="9" min="8" style="1" width="3.62"/>
    <col collapsed="false" customWidth="true" hidden="true" outlineLevel="0" max="15" min="10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502"/>
      <c r="B1" s="503"/>
      <c r="C1" s="503"/>
      <c r="D1" s="503"/>
      <c r="E1" s="503"/>
      <c r="F1" s="503"/>
      <c r="G1" s="503"/>
      <c r="H1" s="503"/>
      <c r="I1" s="503"/>
      <c r="J1" s="503"/>
      <c r="K1" s="503"/>
      <c r="L1" s="503"/>
      <c r="M1" s="503"/>
      <c r="N1" s="503"/>
      <c r="O1" s="50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503"/>
      <c r="B2" s="504"/>
      <c r="C2" s="81" t="str">
        <f aca="false">Contents!B59</f>
        <v>Version: AS L 6 LARGE locked LOCAL</v>
      </c>
      <c r="D2" s="5"/>
      <c r="E2" s="504"/>
      <c r="F2" s="504"/>
      <c r="G2" s="504"/>
      <c r="H2" s="504"/>
      <c r="I2" s="503"/>
      <c r="J2" s="503"/>
      <c r="K2" s="503"/>
      <c r="L2" s="503"/>
      <c r="M2" s="503"/>
      <c r="N2" s="503"/>
      <c r="O2" s="503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505"/>
      <c r="B3" s="506"/>
      <c r="C3" s="507" t="str">
        <f aca="false">Contents!$E$3</f>
        <v>THE SOCIETY FOR CREATIVE ANACHRONISM, INC.</v>
      </c>
      <c r="D3" s="507"/>
      <c r="E3" s="507"/>
      <c r="F3" s="507"/>
      <c r="G3" s="507"/>
      <c r="H3" s="506"/>
      <c r="I3" s="505"/>
      <c r="J3" s="505"/>
      <c r="K3" s="505"/>
      <c r="L3" s="505"/>
      <c r="M3" s="505"/>
      <c r="N3" s="505"/>
      <c r="O3" s="50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503"/>
      <c r="B4" s="504"/>
      <c r="C4" s="507" t="str">
        <f aca="false">Contents!$E$4</f>
        <v>FINANCIAL REPORT</v>
      </c>
      <c r="D4" s="507"/>
      <c r="E4" s="507"/>
      <c r="F4" s="507"/>
      <c r="G4" s="507"/>
      <c r="H4" s="504"/>
      <c r="I4" s="503"/>
      <c r="J4" s="503"/>
      <c r="K4" s="503"/>
      <c r="L4" s="503"/>
      <c r="M4" s="503"/>
      <c r="N4" s="503"/>
      <c r="O4" s="50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503"/>
      <c r="B5" s="504"/>
      <c r="C5" s="504"/>
      <c r="D5" s="504"/>
      <c r="E5" s="504"/>
      <c r="F5" s="504"/>
      <c r="G5" s="504"/>
      <c r="H5" s="504"/>
      <c r="I5" s="503"/>
      <c r="J5" s="503"/>
      <c r="K5" s="503"/>
      <c r="L5" s="503"/>
      <c r="M5" s="503"/>
      <c r="N5" s="503"/>
      <c r="O5" s="50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503"/>
      <c r="B6" s="504"/>
      <c r="C6" s="508" t="str">
        <f aca="false">Contents!B58</f>
        <v>Branch:   SCA, Inc.- Middle Kingdom                                               Period:  1/01/2025             to     12/31/2025            .</v>
      </c>
      <c r="D6" s="508"/>
      <c r="E6" s="508"/>
      <c r="F6" s="508"/>
      <c r="G6" s="508"/>
      <c r="H6" s="504"/>
      <c r="I6" s="503"/>
      <c r="J6" s="503"/>
      <c r="K6" s="503"/>
      <c r="L6" s="503"/>
      <c r="M6" s="503"/>
      <c r="N6" s="503"/>
      <c r="O6" s="503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503"/>
      <c r="B7" s="504"/>
      <c r="C7" s="504"/>
      <c r="D7" s="504"/>
      <c r="E7" s="504"/>
      <c r="F7" s="504"/>
      <c r="G7" s="504"/>
      <c r="H7" s="504"/>
      <c r="I7" s="503"/>
      <c r="J7" s="503"/>
      <c r="K7" s="503"/>
      <c r="L7" s="503"/>
      <c r="M7" s="503"/>
      <c r="N7" s="503"/>
      <c r="O7" s="50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503"/>
      <c r="B8" s="504"/>
      <c r="C8" s="509" t="s">
        <v>410</v>
      </c>
      <c r="D8" s="509"/>
      <c r="E8" s="509"/>
      <c r="F8" s="509"/>
      <c r="G8" s="509"/>
      <c r="H8" s="504"/>
      <c r="I8" s="503"/>
      <c r="J8" s="503"/>
      <c r="K8" s="503"/>
      <c r="L8" s="503"/>
      <c r="M8" s="503"/>
      <c r="N8" s="503"/>
      <c r="O8" s="503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510"/>
      <c r="B9" s="120"/>
      <c r="C9" s="504"/>
      <c r="D9" s="504"/>
      <c r="E9" s="504"/>
      <c r="F9" s="504"/>
      <c r="G9" s="504"/>
      <c r="H9" s="120"/>
      <c r="I9" s="510"/>
      <c r="J9" s="510"/>
      <c r="K9" s="510"/>
      <c r="L9" s="510"/>
      <c r="M9" s="510"/>
      <c r="N9" s="510"/>
      <c r="O9" s="51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4.25" hidden="false" customHeight="false" outlineLevel="0" collapsed="false">
      <c r="A10" s="119"/>
      <c r="B10" s="120"/>
      <c r="C10" s="511" t="s">
        <v>411</v>
      </c>
      <c r="D10" s="511"/>
      <c r="E10" s="511"/>
      <c r="F10" s="511"/>
      <c r="G10" s="511"/>
      <c r="H10" s="120"/>
      <c r="I10" s="119"/>
      <c r="J10" s="119"/>
      <c r="K10" s="119"/>
      <c r="L10" s="119"/>
      <c r="M10" s="119"/>
      <c r="N10" s="119"/>
      <c r="O10" s="119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false" outlineLevel="0" collapsed="false">
      <c r="A11" s="119"/>
      <c r="B11" s="120"/>
      <c r="C11" s="512" t="s">
        <v>412</v>
      </c>
      <c r="D11" s="512"/>
      <c r="E11" s="512"/>
      <c r="F11" s="512"/>
      <c r="G11" s="512"/>
      <c r="H11" s="120"/>
      <c r="I11" s="119"/>
      <c r="J11" s="119"/>
      <c r="K11" s="119"/>
      <c r="L11" s="119"/>
      <c r="M11" s="119"/>
      <c r="N11" s="119"/>
      <c r="O11" s="119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false" outlineLevel="0" collapsed="false">
      <c r="A12" s="119"/>
      <c r="B12" s="120"/>
      <c r="C12" s="513" t="s">
        <v>413</v>
      </c>
      <c r="D12" s="514"/>
      <c r="E12" s="514"/>
      <c r="F12" s="514"/>
      <c r="G12" s="515"/>
      <c r="H12" s="120"/>
      <c r="I12" s="119"/>
      <c r="J12" s="119"/>
      <c r="K12" s="119"/>
      <c r="L12" s="119"/>
      <c r="M12" s="119"/>
      <c r="N12" s="119"/>
      <c r="O12" s="119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false" outlineLevel="0" collapsed="false">
      <c r="A13" s="119"/>
      <c r="B13" s="120"/>
      <c r="C13" s="516" t="s">
        <v>414</v>
      </c>
      <c r="D13" s="516"/>
      <c r="E13" s="516"/>
      <c r="F13" s="516"/>
      <c r="G13" s="516"/>
      <c r="H13" s="120"/>
      <c r="I13" s="119"/>
      <c r="J13" s="119"/>
      <c r="K13" s="119"/>
      <c r="L13" s="119"/>
      <c r="M13" s="119"/>
      <c r="N13" s="119"/>
      <c r="O13" s="119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false" outlineLevel="0" collapsed="false">
      <c r="A14" s="119"/>
      <c r="B14" s="120"/>
      <c r="C14" s="517" t="s">
        <v>415</v>
      </c>
      <c r="D14" s="518" t="s">
        <v>416</v>
      </c>
      <c r="E14" s="519" t="s">
        <v>415</v>
      </c>
      <c r="F14" s="519"/>
      <c r="G14" s="520" t="s">
        <v>416</v>
      </c>
      <c r="H14" s="120"/>
      <c r="I14" s="119"/>
      <c r="J14" s="119"/>
      <c r="K14" s="119"/>
      <c r="L14" s="119"/>
      <c r="M14" s="119"/>
      <c r="N14" s="119"/>
      <c r="O14" s="119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119"/>
      <c r="B15" s="120"/>
      <c r="C15" s="521" t="s">
        <v>417</v>
      </c>
      <c r="D15" s="150" t="n">
        <v>200</v>
      </c>
      <c r="E15" s="522"/>
      <c r="F15" s="522"/>
      <c r="G15" s="523"/>
      <c r="H15" s="120"/>
      <c r="I15" s="119"/>
      <c r="J15" s="119"/>
      <c r="K15" s="119"/>
      <c r="L15" s="119"/>
      <c r="M15" s="119"/>
      <c r="N15" s="119"/>
      <c r="O15" s="119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false" outlineLevel="0" collapsed="false">
      <c r="A16" s="503"/>
      <c r="B16" s="120"/>
      <c r="C16" s="524" t="s">
        <v>418</v>
      </c>
      <c r="D16" s="154" t="n">
        <v>120</v>
      </c>
      <c r="E16" s="525"/>
      <c r="F16" s="525"/>
      <c r="G16" s="526"/>
      <c r="H16" s="120"/>
      <c r="I16" s="527"/>
      <c r="J16" s="527"/>
      <c r="K16" s="527"/>
      <c r="L16" s="527"/>
      <c r="M16" s="527"/>
      <c r="N16" s="527"/>
      <c r="O16" s="527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A17" s="503"/>
      <c r="B17" s="504"/>
      <c r="C17" s="524"/>
      <c r="D17" s="154"/>
      <c r="E17" s="525"/>
      <c r="F17" s="525"/>
      <c r="G17" s="526"/>
      <c r="H17" s="504"/>
      <c r="I17" s="503"/>
      <c r="J17" s="503"/>
      <c r="K17" s="503"/>
      <c r="L17" s="503"/>
      <c r="M17" s="503"/>
      <c r="N17" s="503"/>
      <c r="O17" s="50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A18" s="503"/>
      <c r="B18" s="504"/>
      <c r="C18" s="528"/>
      <c r="D18" s="529"/>
      <c r="E18" s="530"/>
      <c r="F18" s="530"/>
      <c r="G18" s="531"/>
      <c r="H18" s="504"/>
      <c r="I18" s="503"/>
      <c r="J18" s="503"/>
      <c r="K18" s="503"/>
      <c r="L18" s="503"/>
      <c r="M18" s="503"/>
      <c r="N18" s="503"/>
      <c r="O18" s="503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14.25" hidden="false" customHeight="false" outlineLevel="0" collapsed="false">
      <c r="A19" s="503"/>
      <c r="B19" s="504"/>
      <c r="C19" s="532" t="s">
        <v>419</v>
      </c>
      <c r="D19" s="532"/>
      <c r="E19" s="532"/>
      <c r="F19" s="532"/>
      <c r="G19" s="533" t="n">
        <f aca="false">SUM(D15:D18)+SUM(G15:G18)</f>
        <v>320</v>
      </c>
      <c r="H19" s="504"/>
      <c r="I19" s="503"/>
      <c r="J19" s="503"/>
      <c r="K19" s="503"/>
      <c r="L19" s="503"/>
      <c r="M19" s="503"/>
      <c r="N19" s="503"/>
      <c r="O19" s="503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14.25" hidden="false" customHeight="false" outlineLevel="0" collapsed="false">
      <c r="A20" s="503"/>
      <c r="B20" s="120"/>
      <c r="C20" s="504"/>
      <c r="D20" s="504"/>
      <c r="E20" s="504"/>
      <c r="F20" s="504"/>
      <c r="G20" s="504"/>
      <c r="H20" s="504"/>
      <c r="I20" s="503"/>
      <c r="J20" s="503"/>
      <c r="K20" s="503"/>
      <c r="L20" s="503"/>
      <c r="M20" s="503"/>
      <c r="N20" s="503"/>
      <c r="O20" s="503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14.25" hidden="false" customHeight="false" outlineLevel="0" collapsed="false">
      <c r="A21" s="503"/>
      <c r="B21" s="120"/>
      <c r="C21" s="511" t="s">
        <v>420</v>
      </c>
      <c r="D21" s="511"/>
      <c r="E21" s="511"/>
      <c r="F21" s="511"/>
      <c r="G21" s="511"/>
      <c r="H21" s="504"/>
      <c r="I21" s="503"/>
      <c r="J21" s="503"/>
      <c r="K21" s="503"/>
      <c r="L21" s="503"/>
      <c r="M21" s="503"/>
      <c r="N21" s="503"/>
      <c r="O21" s="503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14.25" hidden="false" customHeight="false" outlineLevel="0" collapsed="false">
      <c r="A22" s="503"/>
      <c r="B22" s="504"/>
      <c r="C22" s="534" t="s">
        <v>421</v>
      </c>
      <c r="D22" s="534"/>
      <c r="E22" s="534"/>
      <c r="F22" s="534"/>
      <c r="G22" s="534"/>
      <c r="H22" s="504"/>
      <c r="I22" s="503"/>
      <c r="J22" s="503"/>
      <c r="K22" s="503"/>
      <c r="L22" s="503"/>
      <c r="M22" s="503"/>
      <c r="N22" s="503"/>
      <c r="O22" s="503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14.25" hidden="false" customHeight="false" outlineLevel="0" collapsed="false">
      <c r="A23" s="503"/>
      <c r="B23" s="504"/>
      <c r="C23" s="535" t="s">
        <v>422</v>
      </c>
      <c r="D23" s="536" t="s">
        <v>423</v>
      </c>
      <c r="E23" s="536"/>
      <c r="F23" s="537" t="s">
        <v>424</v>
      </c>
      <c r="G23" s="538" t="s">
        <v>425</v>
      </c>
      <c r="H23" s="504"/>
      <c r="I23" s="503"/>
      <c r="J23" s="503"/>
      <c r="K23" s="503"/>
      <c r="L23" s="503"/>
      <c r="M23" s="503"/>
      <c r="N23" s="503"/>
      <c r="O23" s="503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4.25" hidden="false" customHeight="false" outlineLevel="0" collapsed="false">
      <c r="A24" s="503"/>
      <c r="B24" s="504"/>
      <c r="C24" s="521"/>
      <c r="D24" s="539"/>
      <c r="E24" s="539"/>
      <c r="F24" s="540"/>
      <c r="G24" s="541"/>
      <c r="H24" s="504"/>
      <c r="I24" s="503"/>
      <c r="J24" s="503"/>
      <c r="K24" s="503"/>
      <c r="L24" s="503"/>
      <c r="M24" s="503"/>
      <c r="N24" s="503"/>
      <c r="O24" s="503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14.25" hidden="false" customHeight="false" outlineLevel="0" collapsed="false">
      <c r="A25" s="503"/>
      <c r="B25" s="504"/>
      <c r="C25" s="524"/>
      <c r="D25" s="539"/>
      <c r="E25" s="539"/>
      <c r="F25" s="540"/>
      <c r="G25" s="541"/>
      <c r="H25" s="504"/>
      <c r="I25" s="503"/>
      <c r="J25" s="503"/>
      <c r="K25" s="503"/>
      <c r="L25" s="503"/>
      <c r="M25" s="503"/>
      <c r="N25" s="503"/>
      <c r="O25" s="503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4.25" hidden="false" customHeight="false" outlineLevel="0" collapsed="false">
      <c r="A26" s="503"/>
      <c r="B26" s="504"/>
      <c r="C26" s="524"/>
      <c r="D26" s="539"/>
      <c r="E26" s="539"/>
      <c r="F26" s="540"/>
      <c r="G26" s="541"/>
      <c r="H26" s="504"/>
      <c r="I26" s="503"/>
      <c r="J26" s="503"/>
      <c r="K26" s="503"/>
      <c r="L26" s="503"/>
      <c r="M26" s="503"/>
      <c r="N26" s="503"/>
      <c r="O26" s="503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false" outlineLevel="0" collapsed="false">
      <c r="A27" s="503"/>
      <c r="B27" s="504"/>
      <c r="C27" s="524"/>
      <c r="D27" s="539"/>
      <c r="E27" s="539"/>
      <c r="F27" s="540"/>
      <c r="G27" s="541"/>
      <c r="H27" s="504"/>
      <c r="I27" s="503"/>
      <c r="J27" s="503"/>
      <c r="K27" s="503"/>
      <c r="L27" s="503"/>
      <c r="M27" s="503"/>
      <c r="N27" s="503"/>
      <c r="O27" s="503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A28" s="503"/>
      <c r="B28" s="504"/>
      <c r="C28" s="524"/>
      <c r="D28" s="539"/>
      <c r="E28" s="539"/>
      <c r="F28" s="540"/>
      <c r="G28" s="541"/>
      <c r="H28" s="504"/>
      <c r="I28" s="503"/>
      <c r="J28" s="503"/>
      <c r="K28" s="503"/>
      <c r="L28" s="503"/>
      <c r="M28" s="503"/>
      <c r="N28" s="503"/>
      <c r="O28" s="503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A29" s="503"/>
      <c r="B29" s="504"/>
      <c r="C29" s="524"/>
      <c r="D29" s="539"/>
      <c r="E29" s="539"/>
      <c r="F29" s="540"/>
      <c r="G29" s="541"/>
      <c r="H29" s="504"/>
      <c r="I29" s="503"/>
      <c r="J29" s="503"/>
      <c r="K29" s="503"/>
      <c r="L29" s="503"/>
      <c r="M29" s="503"/>
      <c r="N29" s="503"/>
      <c r="O29" s="503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4.25" hidden="false" customHeight="false" outlineLevel="0" collapsed="false">
      <c r="A30" s="503"/>
      <c r="B30" s="504"/>
      <c r="C30" s="524"/>
      <c r="D30" s="539"/>
      <c r="E30" s="539"/>
      <c r="F30" s="540"/>
      <c r="G30" s="541"/>
      <c r="H30" s="504"/>
      <c r="I30" s="503"/>
      <c r="J30" s="503"/>
      <c r="K30" s="503"/>
      <c r="L30" s="503"/>
      <c r="M30" s="503"/>
      <c r="N30" s="503"/>
      <c r="O30" s="503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14.25" hidden="false" customHeight="false" outlineLevel="0" collapsed="false">
      <c r="A31" s="503"/>
      <c r="B31" s="504"/>
      <c r="C31" s="524"/>
      <c r="D31" s="539"/>
      <c r="E31" s="539"/>
      <c r="F31" s="540"/>
      <c r="G31" s="541"/>
      <c r="H31" s="504"/>
      <c r="I31" s="503"/>
      <c r="J31" s="503"/>
      <c r="K31" s="503"/>
      <c r="L31" s="503"/>
      <c r="M31" s="503"/>
      <c r="N31" s="503"/>
      <c r="O31" s="503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A32" s="503"/>
      <c r="B32" s="504"/>
      <c r="C32" s="524"/>
      <c r="D32" s="539"/>
      <c r="E32" s="539"/>
      <c r="F32" s="540"/>
      <c r="G32" s="541"/>
      <c r="H32" s="504"/>
      <c r="I32" s="527"/>
      <c r="J32" s="527"/>
      <c r="K32" s="527"/>
      <c r="L32" s="527"/>
      <c r="M32" s="527"/>
      <c r="N32" s="527"/>
      <c r="O32" s="527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A33" s="503"/>
      <c r="B33" s="504"/>
      <c r="C33" s="524"/>
      <c r="D33" s="539"/>
      <c r="E33" s="539"/>
      <c r="F33" s="540"/>
      <c r="G33" s="541"/>
      <c r="H33" s="504"/>
      <c r="I33" s="503"/>
      <c r="J33" s="503"/>
      <c r="K33" s="503"/>
      <c r="L33" s="503"/>
      <c r="M33" s="503"/>
      <c r="N33" s="503"/>
      <c r="O33" s="503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A34" s="542"/>
      <c r="B34" s="504"/>
      <c r="C34" s="524"/>
      <c r="D34" s="539"/>
      <c r="E34" s="539"/>
      <c r="F34" s="540"/>
      <c r="G34" s="541"/>
      <c r="H34" s="543"/>
      <c r="I34" s="542"/>
      <c r="J34" s="542"/>
      <c r="K34" s="542"/>
      <c r="L34" s="542"/>
      <c r="M34" s="542"/>
      <c r="N34" s="542"/>
      <c r="O34" s="542"/>
      <c r="P34" s="79" t="s">
        <v>79</v>
      </c>
      <c r="Q34" s="78"/>
      <c r="R34" s="78"/>
      <c r="S34" s="78"/>
      <c r="T34" s="79" t="s">
        <v>87</v>
      </c>
    </row>
    <row r="35" customFormat="false" ht="14.25" hidden="false" customHeight="false" outlineLevel="0" collapsed="false">
      <c r="A35" s="503"/>
      <c r="B35" s="504"/>
      <c r="C35" s="544"/>
      <c r="D35" s="545"/>
      <c r="E35" s="546" t="s">
        <v>426</v>
      </c>
      <c r="F35" s="547" t="n">
        <f aca="false">SUM(F24:F34)</f>
        <v>0</v>
      </c>
      <c r="G35" s="548" t="n">
        <f aca="false">SUM(G24:G34)</f>
        <v>0</v>
      </c>
      <c r="H35" s="504"/>
      <c r="I35" s="503"/>
      <c r="J35" s="503"/>
      <c r="K35" s="503"/>
      <c r="L35" s="503"/>
      <c r="M35" s="503"/>
      <c r="N35" s="503"/>
      <c r="O35" s="503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A36" s="549"/>
      <c r="B36" s="543"/>
      <c r="C36" s="550"/>
      <c r="D36" s="551"/>
      <c r="E36" s="552" t="s">
        <v>427</v>
      </c>
      <c r="F36" s="553" t="s">
        <v>428</v>
      </c>
      <c r="G36" s="554" t="s">
        <v>429</v>
      </c>
      <c r="H36" s="555"/>
      <c r="I36" s="549"/>
      <c r="J36" s="549"/>
      <c r="K36" s="549"/>
      <c r="L36" s="549"/>
      <c r="M36" s="549"/>
      <c r="N36" s="549"/>
      <c r="O36" s="549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A37" s="503"/>
      <c r="B37" s="543"/>
      <c r="C37" s="556"/>
      <c r="D37" s="556"/>
      <c r="E37" s="543"/>
      <c r="F37" s="557"/>
      <c r="G37" s="557"/>
      <c r="H37" s="555"/>
      <c r="I37" s="503"/>
      <c r="J37" s="503"/>
      <c r="K37" s="503"/>
      <c r="L37" s="503"/>
      <c r="M37" s="503"/>
      <c r="N37" s="503"/>
      <c r="O37" s="503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A38" s="503"/>
      <c r="B38" s="120"/>
      <c r="C38" s="511" t="s">
        <v>430</v>
      </c>
      <c r="D38" s="511"/>
      <c r="E38" s="511"/>
      <c r="F38" s="511"/>
      <c r="G38" s="511"/>
      <c r="H38" s="120"/>
      <c r="I38" s="503"/>
      <c r="J38" s="503"/>
      <c r="K38" s="503"/>
      <c r="L38" s="503"/>
      <c r="M38" s="503"/>
      <c r="N38" s="503"/>
      <c r="O38" s="503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A39" s="503"/>
      <c r="B39" s="504"/>
      <c r="C39" s="534" t="s">
        <v>431</v>
      </c>
      <c r="D39" s="534"/>
      <c r="E39" s="534"/>
      <c r="F39" s="534"/>
      <c r="G39" s="534"/>
      <c r="H39" s="504"/>
      <c r="I39" s="503"/>
      <c r="J39" s="503"/>
      <c r="K39" s="503"/>
      <c r="L39" s="503"/>
      <c r="M39" s="503"/>
      <c r="N39" s="503"/>
      <c r="O39" s="503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A40" s="503"/>
      <c r="B40" s="504"/>
      <c r="C40" s="558" t="s">
        <v>432</v>
      </c>
      <c r="D40" s="558"/>
      <c r="E40" s="558"/>
      <c r="F40" s="537" t="s">
        <v>424</v>
      </c>
      <c r="G40" s="538" t="s">
        <v>425</v>
      </c>
      <c r="H40" s="504"/>
      <c r="I40" s="503"/>
      <c r="J40" s="503"/>
      <c r="K40" s="503"/>
      <c r="L40" s="503"/>
      <c r="M40" s="503"/>
      <c r="N40" s="503"/>
      <c r="O40" s="503"/>
      <c r="P40" s="79" t="s">
        <v>89</v>
      </c>
      <c r="Q40" s="78"/>
      <c r="R40" s="78"/>
      <c r="S40" s="78"/>
      <c r="T40" s="78"/>
    </row>
    <row r="41" customFormat="false" ht="14.25" hidden="false" customHeight="true" outlineLevel="0" collapsed="false">
      <c r="A41" s="503"/>
      <c r="B41" s="504"/>
      <c r="C41" s="559" t="s">
        <v>433</v>
      </c>
      <c r="D41" s="559"/>
      <c r="E41" s="559"/>
      <c r="F41" s="540" t="n">
        <v>8836.16</v>
      </c>
      <c r="G41" s="541" t="n">
        <v>0</v>
      </c>
      <c r="H41" s="504"/>
      <c r="I41" s="503"/>
      <c r="J41" s="503"/>
      <c r="K41" s="503"/>
      <c r="L41" s="503"/>
      <c r="M41" s="503"/>
      <c r="N41" s="503"/>
      <c r="O41" s="503"/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A42" s="542"/>
      <c r="B42" s="504"/>
      <c r="C42" s="524"/>
      <c r="D42" s="524"/>
      <c r="E42" s="524"/>
      <c r="F42" s="540"/>
      <c r="G42" s="541"/>
      <c r="H42" s="504"/>
      <c r="I42" s="542"/>
      <c r="J42" s="542"/>
      <c r="K42" s="542"/>
      <c r="L42" s="542"/>
      <c r="M42" s="542"/>
      <c r="N42" s="542"/>
      <c r="O42" s="542"/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A43" s="503"/>
      <c r="B43" s="504"/>
      <c r="C43" s="524"/>
      <c r="D43" s="524"/>
      <c r="E43" s="524"/>
      <c r="F43" s="540"/>
      <c r="G43" s="541"/>
      <c r="H43" s="504"/>
      <c r="I43" s="503"/>
      <c r="J43" s="503"/>
      <c r="K43" s="503"/>
      <c r="L43" s="503"/>
      <c r="M43" s="503"/>
      <c r="N43" s="503"/>
      <c r="O43" s="503"/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A44" s="503"/>
      <c r="B44" s="504"/>
      <c r="C44" s="524"/>
      <c r="D44" s="524"/>
      <c r="E44" s="524"/>
      <c r="F44" s="540"/>
      <c r="G44" s="541"/>
      <c r="H44" s="504"/>
      <c r="I44" s="503"/>
      <c r="J44" s="503"/>
      <c r="K44" s="503"/>
      <c r="L44" s="503"/>
      <c r="M44" s="503"/>
      <c r="N44" s="503"/>
      <c r="O44" s="503"/>
      <c r="P44" s="78"/>
      <c r="Q44" s="78"/>
      <c r="R44" s="78"/>
      <c r="S44" s="78"/>
      <c r="T44" s="78"/>
    </row>
    <row r="45" customFormat="false" ht="14.25" hidden="false" customHeight="false" outlineLevel="0" collapsed="false">
      <c r="A45" s="503"/>
      <c r="B45" s="504"/>
      <c r="C45" s="560"/>
      <c r="D45" s="560"/>
      <c r="E45" s="560"/>
      <c r="F45" s="540"/>
      <c r="G45" s="541"/>
      <c r="H45" s="543"/>
      <c r="I45" s="503"/>
      <c r="J45" s="503"/>
      <c r="K45" s="503"/>
      <c r="L45" s="503"/>
      <c r="M45" s="503"/>
      <c r="N45" s="503"/>
      <c r="O45" s="503"/>
      <c r="P45" s="78"/>
      <c r="Q45" s="78"/>
      <c r="R45" s="78"/>
      <c r="S45" s="78"/>
      <c r="T45" s="78"/>
    </row>
    <row r="46" customFormat="false" ht="14.25" hidden="false" customHeight="false" outlineLevel="0" collapsed="false">
      <c r="A46" s="503"/>
      <c r="B46" s="504"/>
      <c r="C46" s="544"/>
      <c r="D46" s="545"/>
      <c r="E46" s="546"/>
      <c r="F46" s="547" t="n">
        <f aca="false">SUM(F41:F45)</f>
        <v>8836.16</v>
      </c>
      <c r="G46" s="548" t="n">
        <f aca="false">SUM(G41:G45)</f>
        <v>0</v>
      </c>
      <c r="H46" s="504"/>
      <c r="I46" s="503"/>
      <c r="J46" s="503"/>
      <c r="K46" s="503"/>
      <c r="L46" s="503"/>
      <c r="M46" s="503"/>
      <c r="N46" s="503"/>
      <c r="O46" s="503"/>
      <c r="Q46" s="78"/>
      <c r="R46" s="78"/>
      <c r="S46" s="78"/>
      <c r="T46" s="78"/>
    </row>
    <row r="47" customFormat="false" ht="14.25" hidden="false" customHeight="false" outlineLevel="0" collapsed="false">
      <c r="A47" s="503"/>
      <c r="B47" s="543"/>
      <c r="C47" s="550"/>
      <c r="D47" s="551"/>
      <c r="E47" s="552" t="s">
        <v>427</v>
      </c>
      <c r="F47" s="553" t="s">
        <v>434</v>
      </c>
      <c r="G47" s="554" t="s">
        <v>435</v>
      </c>
      <c r="H47" s="555"/>
      <c r="I47" s="503"/>
      <c r="J47" s="503"/>
      <c r="K47" s="503"/>
      <c r="L47" s="503"/>
      <c r="M47" s="503"/>
      <c r="N47" s="503"/>
      <c r="O47" s="503"/>
      <c r="Q47" s="78"/>
      <c r="R47" s="78"/>
      <c r="S47" s="78"/>
      <c r="T47" s="78"/>
    </row>
    <row r="48" customFormat="false" ht="14.25" hidden="false" customHeight="false" outlineLevel="0" collapsed="false">
      <c r="A48" s="503"/>
      <c r="B48" s="120"/>
      <c r="C48" s="556"/>
      <c r="D48" s="556"/>
      <c r="E48" s="543"/>
      <c r="F48" s="557"/>
      <c r="G48" s="557"/>
      <c r="H48" s="120"/>
      <c r="I48" s="503"/>
      <c r="J48" s="503"/>
      <c r="K48" s="503"/>
      <c r="L48" s="503"/>
      <c r="M48" s="503"/>
      <c r="N48" s="503"/>
      <c r="O48" s="503"/>
      <c r="S48" s="78"/>
    </row>
    <row r="49" customFormat="false" ht="14.25" hidden="false" customHeight="false" outlineLevel="0" collapsed="false">
      <c r="A49" s="542"/>
      <c r="B49" s="120"/>
      <c r="C49" s="511" t="s">
        <v>436</v>
      </c>
      <c r="D49" s="511"/>
      <c r="E49" s="511"/>
      <c r="F49" s="511"/>
      <c r="G49" s="511"/>
      <c r="H49" s="120"/>
      <c r="I49" s="542"/>
      <c r="J49" s="542"/>
      <c r="K49" s="542"/>
      <c r="L49" s="542"/>
      <c r="M49" s="542"/>
      <c r="N49" s="542"/>
      <c r="O49" s="542"/>
      <c r="S49" s="78"/>
    </row>
    <row r="50" customFormat="false" ht="14.25" hidden="false" customHeight="false" outlineLevel="0" collapsed="false">
      <c r="A50" s="503"/>
      <c r="B50" s="504"/>
      <c r="C50" s="561" t="s">
        <v>437</v>
      </c>
      <c r="D50" s="514"/>
      <c r="E50" s="514"/>
      <c r="F50" s="514"/>
      <c r="G50" s="515"/>
      <c r="H50" s="504"/>
      <c r="I50" s="503"/>
      <c r="J50" s="503"/>
      <c r="K50" s="503"/>
      <c r="L50" s="503"/>
      <c r="M50" s="503"/>
      <c r="N50" s="503"/>
      <c r="O50" s="503"/>
    </row>
    <row r="51" customFormat="false" ht="14.25" hidden="false" customHeight="false" outlineLevel="0" collapsed="false">
      <c r="A51" s="503"/>
      <c r="B51" s="555"/>
      <c r="C51" s="558" t="s">
        <v>438</v>
      </c>
      <c r="D51" s="558"/>
      <c r="E51" s="558"/>
      <c r="F51" s="537" t="s">
        <v>424</v>
      </c>
      <c r="G51" s="538" t="s">
        <v>425</v>
      </c>
      <c r="H51" s="504"/>
      <c r="I51" s="503"/>
      <c r="J51" s="503"/>
      <c r="K51" s="503"/>
      <c r="L51" s="503"/>
      <c r="M51" s="503"/>
      <c r="N51" s="503"/>
      <c r="O51" s="503"/>
    </row>
    <row r="52" customFormat="false" ht="14.25" hidden="false" customHeight="false" outlineLevel="0" collapsed="false">
      <c r="A52" s="503"/>
      <c r="B52" s="504"/>
      <c r="C52" s="559"/>
      <c r="D52" s="559"/>
      <c r="E52" s="559"/>
      <c r="F52" s="540"/>
      <c r="G52" s="541"/>
      <c r="H52" s="504"/>
      <c r="I52" s="503"/>
      <c r="J52" s="503"/>
      <c r="K52" s="503"/>
      <c r="L52" s="503"/>
      <c r="M52" s="503"/>
      <c r="N52" s="503"/>
      <c r="O52" s="503"/>
    </row>
    <row r="53" customFormat="false" ht="14.25" hidden="false" customHeight="false" outlineLevel="0" collapsed="false">
      <c r="A53" s="503"/>
      <c r="B53" s="504"/>
      <c r="C53" s="524"/>
      <c r="D53" s="524"/>
      <c r="E53" s="524"/>
      <c r="F53" s="540"/>
      <c r="G53" s="541"/>
      <c r="H53" s="504"/>
      <c r="I53" s="503"/>
      <c r="J53" s="503"/>
      <c r="K53" s="503"/>
      <c r="L53" s="503"/>
      <c r="M53" s="503"/>
      <c r="N53" s="503"/>
      <c r="O53" s="503"/>
    </row>
    <row r="54" customFormat="false" ht="14.25" hidden="false" customHeight="false" outlineLevel="0" collapsed="false">
      <c r="A54" s="503"/>
      <c r="B54" s="504"/>
      <c r="C54" s="524"/>
      <c r="D54" s="524"/>
      <c r="E54" s="524"/>
      <c r="F54" s="540"/>
      <c r="G54" s="541"/>
      <c r="H54" s="504"/>
      <c r="I54" s="503"/>
      <c r="J54" s="503"/>
      <c r="K54" s="503"/>
      <c r="L54" s="503"/>
      <c r="M54" s="503"/>
      <c r="N54" s="503"/>
      <c r="O54" s="503"/>
    </row>
    <row r="55" customFormat="false" ht="14.25" hidden="false" customHeight="false" outlineLevel="0" collapsed="false">
      <c r="A55" s="503"/>
      <c r="B55" s="504"/>
      <c r="C55" s="524"/>
      <c r="D55" s="524"/>
      <c r="E55" s="524"/>
      <c r="F55" s="540"/>
      <c r="G55" s="541"/>
      <c r="H55" s="504"/>
      <c r="I55" s="503"/>
      <c r="J55" s="503"/>
      <c r="K55" s="503"/>
      <c r="L55" s="503"/>
      <c r="M55" s="503"/>
      <c r="N55" s="503"/>
      <c r="O55" s="503"/>
    </row>
    <row r="56" customFormat="false" ht="14.25" hidden="false" customHeight="false" outlineLevel="0" collapsed="false">
      <c r="A56" s="503"/>
      <c r="B56" s="504"/>
      <c r="C56" s="524"/>
      <c r="D56" s="524"/>
      <c r="E56" s="524"/>
      <c r="F56" s="540"/>
      <c r="G56" s="541"/>
      <c r="H56" s="504"/>
      <c r="I56" s="503"/>
      <c r="J56" s="503"/>
      <c r="K56" s="503"/>
      <c r="L56" s="503"/>
      <c r="M56" s="503"/>
      <c r="N56" s="503"/>
      <c r="O56" s="503"/>
    </row>
    <row r="57" customFormat="false" ht="14.25" hidden="false" customHeight="false" outlineLevel="0" collapsed="false">
      <c r="A57" s="503"/>
      <c r="B57" s="504"/>
      <c r="C57" s="524"/>
      <c r="D57" s="524"/>
      <c r="E57" s="524"/>
      <c r="F57" s="540"/>
      <c r="G57" s="541"/>
      <c r="H57" s="504"/>
      <c r="I57" s="503"/>
      <c r="J57" s="503"/>
      <c r="K57" s="503"/>
      <c r="L57" s="503"/>
      <c r="M57" s="503"/>
      <c r="N57" s="503"/>
      <c r="O57" s="503"/>
    </row>
    <row r="58" customFormat="false" ht="14.25" hidden="false" customHeight="false" outlineLevel="0" collapsed="false">
      <c r="A58" s="503"/>
      <c r="B58" s="504"/>
      <c r="C58" s="524"/>
      <c r="D58" s="524"/>
      <c r="E58" s="524"/>
      <c r="F58" s="540"/>
      <c r="G58" s="541"/>
      <c r="H58" s="504"/>
      <c r="I58" s="503"/>
      <c r="J58" s="503"/>
      <c r="K58" s="503"/>
      <c r="L58" s="503"/>
      <c r="M58" s="503"/>
      <c r="N58" s="503"/>
      <c r="O58" s="503"/>
    </row>
    <row r="59" customFormat="false" ht="14.25" hidden="false" customHeight="false" outlineLevel="0" collapsed="false">
      <c r="A59" s="503"/>
      <c r="B59" s="504"/>
      <c r="C59" s="524"/>
      <c r="D59" s="524"/>
      <c r="E59" s="524"/>
      <c r="F59" s="540"/>
      <c r="G59" s="541"/>
      <c r="H59" s="543"/>
      <c r="I59" s="503"/>
      <c r="J59" s="503"/>
      <c r="K59" s="503"/>
      <c r="L59" s="503"/>
      <c r="M59" s="503"/>
      <c r="N59" s="503"/>
      <c r="O59" s="503"/>
    </row>
    <row r="60" customFormat="false" ht="14.25" hidden="false" customHeight="false" outlineLevel="0" collapsed="false">
      <c r="A60" s="503"/>
      <c r="B60" s="504"/>
      <c r="C60" s="544"/>
      <c r="D60" s="545"/>
      <c r="E60" s="546"/>
      <c r="F60" s="547" t="n">
        <f aca="false">SUM(F52:F59)</f>
        <v>0</v>
      </c>
      <c r="G60" s="548" t="n">
        <f aca="false">SUM(G52:G59)</f>
        <v>0</v>
      </c>
      <c r="H60" s="504"/>
      <c r="I60" s="503"/>
      <c r="J60" s="503"/>
      <c r="K60" s="503"/>
      <c r="L60" s="503"/>
      <c r="M60" s="503"/>
      <c r="N60" s="503"/>
      <c r="O60" s="503"/>
    </row>
    <row r="61" customFormat="false" ht="14.25" hidden="false" customHeight="false" outlineLevel="0" collapsed="false">
      <c r="A61" s="503"/>
      <c r="B61" s="543"/>
      <c r="C61" s="550"/>
      <c r="D61" s="551"/>
      <c r="E61" s="552" t="s">
        <v>427</v>
      </c>
      <c r="F61" s="553" t="s">
        <v>439</v>
      </c>
      <c r="G61" s="554" t="s">
        <v>440</v>
      </c>
      <c r="H61" s="504"/>
      <c r="I61" s="503"/>
      <c r="J61" s="503"/>
      <c r="K61" s="503"/>
      <c r="L61" s="503"/>
      <c r="M61" s="503"/>
      <c r="N61" s="503"/>
      <c r="O61" s="503"/>
    </row>
    <row r="62" customFormat="false" ht="14.25" hidden="false" customHeight="false" outlineLevel="0" collapsed="false">
      <c r="A62" s="503"/>
      <c r="B62" s="504"/>
      <c r="C62" s="562" t="s">
        <v>284</v>
      </c>
      <c r="D62" s="562"/>
      <c r="E62" s="562"/>
      <c r="F62" s="562"/>
      <c r="G62" s="562"/>
      <c r="H62" s="504"/>
      <c r="I62" s="503"/>
      <c r="J62" s="503"/>
      <c r="K62" s="503"/>
      <c r="L62" s="503"/>
      <c r="M62" s="503"/>
      <c r="N62" s="503"/>
      <c r="O62" s="503"/>
    </row>
    <row r="63" customFormat="false" ht="14.25" hidden="false" customHeight="false" outlineLevel="0" collapsed="false">
      <c r="A63" s="503"/>
      <c r="B63" s="504"/>
      <c r="C63" s="563" t="s">
        <v>441</v>
      </c>
      <c r="D63" s="563"/>
      <c r="E63" s="563"/>
      <c r="F63" s="563"/>
      <c r="G63" s="563"/>
      <c r="H63" s="504"/>
      <c r="I63" s="503"/>
      <c r="J63" s="503"/>
      <c r="K63" s="503"/>
      <c r="L63" s="503"/>
      <c r="M63" s="503"/>
      <c r="N63" s="503"/>
      <c r="O63" s="503"/>
    </row>
  </sheetData>
  <sheetProtection algorithmName="SHA-512" hashValue="HsACj5wUBEXhXD8xFxxJ0pWmOapPXG+mObD0cMrJ+DUab00PEsV77WuWYKOGDb7BMn/hHFcozCp0GmRhCsrhLQ==" saltValue="g3MZ6dr3Bvnlvr4IPKVvLQ==" spinCount="100000" sheet="true" objects="true" scenarios="true"/>
  <mergeCells count="47">
    <mergeCell ref="C3:G3"/>
    <mergeCell ref="C4:G4"/>
    <mergeCell ref="C6:G6"/>
    <mergeCell ref="C8:G8"/>
    <mergeCell ref="C10:G10"/>
    <mergeCell ref="C11:G11"/>
    <mergeCell ref="C13:G13"/>
    <mergeCell ref="E14:F14"/>
    <mergeCell ref="E15:F15"/>
    <mergeCell ref="E16:F16"/>
    <mergeCell ref="E17:F17"/>
    <mergeCell ref="E18:F18"/>
    <mergeCell ref="C19:F19"/>
    <mergeCell ref="C21:G21"/>
    <mergeCell ref="C22:G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C38:G38"/>
    <mergeCell ref="C39:G39"/>
    <mergeCell ref="C40:E40"/>
    <mergeCell ref="C41:E41"/>
    <mergeCell ref="C42:E42"/>
    <mergeCell ref="C43:E43"/>
    <mergeCell ref="C44:E44"/>
    <mergeCell ref="C45:E45"/>
    <mergeCell ref="C49:G49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2:G62"/>
    <mergeCell ref="C63:G63"/>
  </mergeCells>
  <dataValidations count="2">
    <dataValidation allowBlank="true" error="Enter a dollar amount greater than zero." errorStyle="stop" operator="greaterThanOrEqual" showDropDown="false" showErrorMessage="true" showInputMessage="true" sqref="F45:G45 F59:G59" type="none">
      <formula1>0</formula1>
      <formula2>0</formula2>
    </dataValidation>
    <dataValidation allowBlank="true" error="Enter a dollar amount greater than zero." errorStyle="stop" operator="greaterThanOrEqual" showDropDown="false" showErrorMessage="true" showInputMessage="true" sqref="A1 D15:D18 G15:G18 F24:G34 F41:G44 F52:G58" type="decimal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59"/>
  <sheetViews>
    <sheetView showFormulas="false" showGridLines="true" showRowColHeaders="true" showZeros="true" rightToLeft="false" tabSelected="false" showOutlineSymbols="true" defaultGridColor="true" view="normal" topLeftCell="A16" colorId="64" zoomScale="100" zoomScaleNormal="100" zoomScalePageLayoutView="100" workbookViewId="0">
      <selection pane="topLeft" activeCell="A16" activeCellId="0" sqref="A16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32.62"/>
    <col collapsed="false" customWidth="true" hidden="false" outlineLevel="0" max="4" min="4" style="1" width="33.51"/>
    <col collapsed="false" customWidth="true" hidden="false" outlineLevel="0" max="6" min="5" style="1" width="15.62"/>
    <col collapsed="false" customWidth="true" hidden="false" outlineLevel="0" max="8" min="7" style="1" width="3.62"/>
    <col collapsed="false" customWidth="true" hidden="true" outlineLevel="0" max="9" min="9" style="1" width="3.62"/>
    <col collapsed="false" customWidth="false" hidden="true" outlineLevel="0" max="15" min="10" style="1" width="9.1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502"/>
      <c r="B1" s="503"/>
      <c r="C1" s="503"/>
      <c r="D1" s="503"/>
      <c r="E1" s="503"/>
      <c r="F1" s="503"/>
      <c r="G1" s="503"/>
      <c r="H1" s="503"/>
      <c r="I1" s="503"/>
      <c r="J1" s="503"/>
      <c r="K1" s="503"/>
      <c r="L1" s="503"/>
      <c r="M1" s="503"/>
      <c r="N1" s="503"/>
      <c r="O1" s="50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503"/>
      <c r="B2" s="504"/>
      <c r="C2" s="81" t="str">
        <f aca="false">Contents!B59</f>
        <v>Version: AS L 6 LARGE locked LOCAL</v>
      </c>
      <c r="D2" s="5"/>
      <c r="E2" s="504"/>
      <c r="F2" s="504"/>
      <c r="G2" s="504"/>
      <c r="H2" s="503"/>
      <c r="I2" s="503"/>
      <c r="J2" s="503"/>
      <c r="K2" s="503"/>
      <c r="L2" s="503"/>
      <c r="M2" s="503"/>
      <c r="N2" s="503"/>
      <c r="O2" s="503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505"/>
      <c r="B3" s="506"/>
      <c r="C3" s="507" t="str">
        <f aca="false">Contents!$E$3</f>
        <v>THE SOCIETY FOR CREATIVE ANACHRONISM, INC.</v>
      </c>
      <c r="D3" s="507"/>
      <c r="E3" s="507"/>
      <c r="F3" s="507"/>
      <c r="G3" s="506"/>
      <c r="H3" s="505"/>
      <c r="I3" s="505"/>
      <c r="J3" s="505"/>
      <c r="K3" s="505"/>
      <c r="L3" s="505"/>
      <c r="M3" s="505"/>
      <c r="N3" s="505"/>
      <c r="O3" s="50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503"/>
      <c r="B4" s="506"/>
      <c r="C4" s="507" t="str">
        <f aca="false">Contents!$E$4</f>
        <v>FINANCIAL REPORT</v>
      </c>
      <c r="D4" s="507"/>
      <c r="E4" s="507"/>
      <c r="F4" s="507"/>
      <c r="G4" s="506"/>
      <c r="H4" s="503"/>
      <c r="I4" s="503"/>
      <c r="J4" s="503"/>
      <c r="K4" s="503"/>
      <c r="L4" s="503"/>
      <c r="M4" s="503"/>
      <c r="N4" s="503"/>
      <c r="O4" s="50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503"/>
      <c r="B5" s="504"/>
      <c r="C5" s="504"/>
      <c r="D5" s="504"/>
      <c r="E5" s="504"/>
      <c r="F5" s="504"/>
      <c r="G5" s="504"/>
      <c r="H5" s="503"/>
      <c r="I5" s="503"/>
      <c r="J5" s="503"/>
      <c r="K5" s="503"/>
      <c r="L5" s="503"/>
      <c r="M5" s="503"/>
      <c r="N5" s="503"/>
      <c r="O5" s="50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503"/>
      <c r="B6" s="504"/>
      <c r="C6" s="508" t="str">
        <f aca="false">Contents!B58</f>
        <v>Branch:   SCA, Inc.- Middle Kingdom                                               Period:  1/01/2025             to     12/31/2025            .</v>
      </c>
      <c r="D6" s="508"/>
      <c r="E6" s="508"/>
      <c r="F6" s="508"/>
      <c r="G6" s="504"/>
      <c r="H6" s="503"/>
      <c r="I6" s="503"/>
      <c r="J6" s="503"/>
      <c r="K6" s="503"/>
      <c r="L6" s="503"/>
      <c r="M6" s="503"/>
      <c r="N6" s="503"/>
      <c r="O6" s="503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503"/>
      <c r="B7" s="504"/>
      <c r="C7" s="504"/>
      <c r="D7" s="504"/>
      <c r="E7" s="504"/>
      <c r="F7" s="504"/>
      <c r="G7" s="504"/>
      <c r="H7" s="503"/>
      <c r="I7" s="503"/>
      <c r="J7" s="503"/>
      <c r="K7" s="503"/>
      <c r="L7" s="503"/>
      <c r="M7" s="503"/>
      <c r="N7" s="503"/>
      <c r="O7" s="50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503"/>
      <c r="B8" s="504"/>
      <c r="C8" s="509" t="s">
        <v>442</v>
      </c>
      <c r="D8" s="509"/>
      <c r="E8" s="509"/>
      <c r="F8" s="509"/>
      <c r="G8" s="504"/>
      <c r="H8" s="503"/>
      <c r="I8" s="503"/>
      <c r="J8" s="503"/>
      <c r="K8" s="503"/>
      <c r="L8" s="503"/>
      <c r="M8" s="503"/>
      <c r="N8" s="503"/>
      <c r="O8" s="503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510"/>
      <c r="B9" s="504"/>
      <c r="C9" s="504"/>
      <c r="D9" s="504"/>
      <c r="E9" s="504"/>
      <c r="F9" s="504"/>
      <c r="G9" s="504"/>
      <c r="H9" s="510"/>
      <c r="I9" s="510"/>
      <c r="J9" s="510"/>
      <c r="K9" s="510"/>
      <c r="L9" s="510"/>
      <c r="M9" s="510"/>
      <c r="N9" s="510"/>
      <c r="O9" s="51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4.25" hidden="false" customHeight="false" outlineLevel="0" collapsed="false">
      <c r="A10" s="119"/>
      <c r="B10" s="120"/>
      <c r="C10" s="564" t="s">
        <v>443</v>
      </c>
      <c r="D10" s="564"/>
      <c r="E10" s="564"/>
      <c r="F10" s="564"/>
      <c r="G10" s="120"/>
      <c r="H10" s="119"/>
      <c r="I10" s="119"/>
      <c r="J10" s="119"/>
      <c r="K10" s="119"/>
      <c r="L10" s="119"/>
      <c r="M10" s="119"/>
      <c r="N10" s="119"/>
      <c r="O10" s="119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false" outlineLevel="0" collapsed="false">
      <c r="A11" s="119"/>
      <c r="B11" s="120"/>
      <c r="C11" s="565" t="s">
        <v>444</v>
      </c>
      <c r="D11" s="565"/>
      <c r="E11" s="565"/>
      <c r="F11" s="565"/>
      <c r="G11" s="120"/>
      <c r="H11" s="119"/>
      <c r="I11" s="119"/>
      <c r="J11" s="119"/>
      <c r="K11" s="119"/>
      <c r="L11" s="119"/>
      <c r="M11" s="119"/>
      <c r="N11" s="119"/>
      <c r="O11" s="119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false" outlineLevel="0" collapsed="false">
      <c r="A12" s="119"/>
      <c r="B12" s="120"/>
      <c r="C12" s="565" t="s">
        <v>445</v>
      </c>
      <c r="D12" s="565"/>
      <c r="E12" s="565"/>
      <c r="F12" s="565"/>
      <c r="G12" s="120"/>
      <c r="H12" s="119"/>
      <c r="I12" s="119"/>
      <c r="J12" s="119"/>
      <c r="K12" s="119"/>
      <c r="L12" s="119"/>
      <c r="M12" s="119"/>
      <c r="N12" s="119"/>
      <c r="O12" s="119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false" outlineLevel="0" collapsed="false">
      <c r="A13" s="119"/>
      <c r="B13" s="120"/>
      <c r="C13" s="565" t="s">
        <v>446</v>
      </c>
      <c r="D13" s="565"/>
      <c r="E13" s="565"/>
      <c r="F13" s="565"/>
      <c r="G13" s="120"/>
      <c r="H13" s="119"/>
      <c r="I13" s="119"/>
      <c r="J13" s="119"/>
      <c r="K13" s="119"/>
      <c r="L13" s="119"/>
      <c r="M13" s="119"/>
      <c r="N13" s="119"/>
      <c r="O13" s="119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false" outlineLevel="0" collapsed="false">
      <c r="A14" s="119"/>
      <c r="B14" s="120"/>
      <c r="C14" s="566" t="s">
        <v>447</v>
      </c>
      <c r="D14" s="566"/>
      <c r="E14" s="566"/>
      <c r="F14" s="566"/>
      <c r="G14" s="120"/>
      <c r="H14" s="119"/>
      <c r="I14" s="119"/>
      <c r="J14" s="119"/>
      <c r="K14" s="119"/>
      <c r="L14" s="119"/>
      <c r="M14" s="119"/>
      <c r="N14" s="119"/>
      <c r="O14" s="119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119"/>
      <c r="B15" s="120"/>
      <c r="C15" s="535" t="s">
        <v>448</v>
      </c>
      <c r="D15" s="535" t="s">
        <v>449</v>
      </c>
      <c r="E15" s="537" t="s">
        <v>424</v>
      </c>
      <c r="F15" s="538" t="s">
        <v>425</v>
      </c>
      <c r="G15" s="120"/>
      <c r="H15" s="119"/>
      <c r="I15" s="119"/>
      <c r="J15" s="119"/>
      <c r="K15" s="119"/>
      <c r="L15" s="119"/>
      <c r="M15" s="119"/>
      <c r="N15" s="119"/>
      <c r="O15" s="119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false" outlineLevel="0" collapsed="false">
      <c r="A16" s="503"/>
      <c r="B16" s="120"/>
      <c r="C16" s="567"/>
      <c r="D16" s="567"/>
      <c r="E16" s="540"/>
      <c r="F16" s="541"/>
      <c r="G16" s="120"/>
      <c r="H16" s="527"/>
      <c r="I16" s="527"/>
      <c r="J16" s="527"/>
      <c r="K16" s="527"/>
      <c r="L16" s="527"/>
      <c r="M16" s="527"/>
      <c r="N16" s="527"/>
      <c r="O16" s="527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A17" s="503"/>
      <c r="B17" s="504"/>
      <c r="C17" s="568"/>
      <c r="D17" s="568"/>
      <c r="E17" s="540"/>
      <c r="F17" s="541"/>
      <c r="G17" s="504"/>
      <c r="H17" s="503"/>
      <c r="I17" s="503"/>
      <c r="J17" s="503"/>
      <c r="K17" s="503"/>
      <c r="L17" s="503"/>
      <c r="M17" s="503"/>
      <c r="N17" s="503"/>
      <c r="O17" s="50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A18" s="503"/>
      <c r="B18" s="504"/>
      <c r="C18" s="568"/>
      <c r="D18" s="568"/>
      <c r="E18" s="540"/>
      <c r="F18" s="541"/>
      <c r="G18" s="504"/>
      <c r="H18" s="503"/>
      <c r="I18" s="503"/>
      <c r="J18" s="503"/>
      <c r="K18" s="503"/>
      <c r="L18" s="503"/>
      <c r="M18" s="503"/>
      <c r="N18" s="503"/>
      <c r="O18" s="503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14.25" hidden="false" customHeight="false" outlineLevel="0" collapsed="false">
      <c r="A19" s="503"/>
      <c r="B19" s="504"/>
      <c r="C19" s="568"/>
      <c r="D19" s="568"/>
      <c r="E19" s="540"/>
      <c r="F19" s="541"/>
      <c r="G19" s="504"/>
      <c r="H19" s="503"/>
      <c r="I19" s="503"/>
      <c r="J19" s="503"/>
      <c r="K19" s="503"/>
      <c r="L19" s="503"/>
      <c r="M19" s="503"/>
      <c r="N19" s="503"/>
      <c r="O19" s="503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14.25" hidden="false" customHeight="false" outlineLevel="0" collapsed="false">
      <c r="A20" s="503"/>
      <c r="B20" s="504"/>
      <c r="C20" s="568"/>
      <c r="D20" s="568"/>
      <c r="E20" s="540"/>
      <c r="F20" s="541"/>
      <c r="G20" s="504"/>
      <c r="H20" s="503"/>
      <c r="I20" s="503"/>
      <c r="J20" s="503"/>
      <c r="K20" s="503"/>
      <c r="L20" s="503"/>
      <c r="M20" s="503"/>
      <c r="N20" s="503"/>
      <c r="O20" s="503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14.25" hidden="false" customHeight="false" outlineLevel="0" collapsed="false">
      <c r="A21" s="503"/>
      <c r="B21" s="504"/>
      <c r="C21" s="568"/>
      <c r="D21" s="568"/>
      <c r="E21" s="540"/>
      <c r="F21" s="541"/>
      <c r="G21" s="504"/>
      <c r="H21" s="503"/>
      <c r="I21" s="503"/>
      <c r="J21" s="503"/>
      <c r="K21" s="503"/>
      <c r="L21" s="503"/>
      <c r="M21" s="503"/>
      <c r="N21" s="503"/>
      <c r="O21" s="503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14.25" hidden="false" customHeight="false" outlineLevel="0" collapsed="false">
      <c r="A22" s="503"/>
      <c r="B22" s="504"/>
      <c r="C22" s="568"/>
      <c r="D22" s="568"/>
      <c r="E22" s="540"/>
      <c r="F22" s="541"/>
      <c r="G22" s="504"/>
      <c r="H22" s="503"/>
      <c r="I22" s="503"/>
      <c r="J22" s="503"/>
      <c r="K22" s="503"/>
      <c r="L22" s="503"/>
      <c r="M22" s="503"/>
      <c r="N22" s="503"/>
      <c r="O22" s="503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14.25" hidden="false" customHeight="false" outlineLevel="0" collapsed="false">
      <c r="A23" s="503"/>
      <c r="B23" s="504"/>
      <c r="C23" s="568"/>
      <c r="D23" s="568"/>
      <c r="E23" s="540"/>
      <c r="F23" s="541"/>
      <c r="G23" s="504"/>
      <c r="H23" s="503"/>
      <c r="I23" s="503"/>
      <c r="J23" s="503"/>
      <c r="K23" s="503"/>
      <c r="L23" s="503"/>
      <c r="M23" s="503"/>
      <c r="N23" s="503"/>
      <c r="O23" s="503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4.25" hidden="false" customHeight="false" outlineLevel="0" collapsed="false">
      <c r="A24" s="503"/>
      <c r="B24" s="504"/>
      <c r="C24" s="568"/>
      <c r="D24" s="568"/>
      <c r="E24" s="540"/>
      <c r="F24" s="541"/>
      <c r="G24" s="504"/>
      <c r="H24" s="503"/>
      <c r="I24" s="503"/>
      <c r="J24" s="503"/>
      <c r="K24" s="503"/>
      <c r="L24" s="503"/>
      <c r="M24" s="503"/>
      <c r="N24" s="503"/>
      <c r="O24" s="503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14.25" hidden="false" customHeight="false" outlineLevel="0" collapsed="false">
      <c r="A25" s="503"/>
      <c r="B25" s="504"/>
      <c r="C25" s="568"/>
      <c r="D25" s="568"/>
      <c r="E25" s="540"/>
      <c r="F25" s="541"/>
      <c r="G25" s="504"/>
      <c r="H25" s="503"/>
      <c r="I25" s="503"/>
      <c r="J25" s="503"/>
      <c r="K25" s="503"/>
      <c r="L25" s="503"/>
      <c r="M25" s="503"/>
      <c r="N25" s="503"/>
      <c r="O25" s="503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4.25" hidden="false" customHeight="false" outlineLevel="0" collapsed="false">
      <c r="A26" s="503"/>
      <c r="B26" s="504"/>
      <c r="C26" s="568"/>
      <c r="D26" s="568"/>
      <c r="E26" s="540"/>
      <c r="F26" s="541"/>
      <c r="G26" s="504"/>
      <c r="H26" s="503"/>
      <c r="I26" s="503"/>
      <c r="J26" s="503"/>
      <c r="K26" s="503"/>
      <c r="L26" s="503"/>
      <c r="M26" s="503"/>
      <c r="N26" s="503"/>
      <c r="O26" s="503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false" outlineLevel="0" collapsed="false">
      <c r="A27" s="503"/>
      <c r="B27" s="504"/>
      <c r="C27" s="568"/>
      <c r="D27" s="568"/>
      <c r="E27" s="540"/>
      <c r="F27" s="541"/>
      <c r="G27" s="504"/>
      <c r="H27" s="503"/>
      <c r="I27" s="503"/>
      <c r="J27" s="503"/>
      <c r="K27" s="503"/>
      <c r="L27" s="503"/>
      <c r="M27" s="503"/>
      <c r="N27" s="503"/>
      <c r="O27" s="503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A28" s="503"/>
      <c r="B28" s="504"/>
      <c r="C28" s="568"/>
      <c r="D28" s="568"/>
      <c r="E28" s="540"/>
      <c r="F28" s="541"/>
      <c r="G28" s="504"/>
      <c r="H28" s="503"/>
      <c r="I28" s="503"/>
      <c r="J28" s="503"/>
      <c r="K28" s="503"/>
      <c r="L28" s="503"/>
      <c r="M28" s="503"/>
      <c r="N28" s="503"/>
      <c r="O28" s="503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A29" s="503"/>
      <c r="B29" s="504"/>
      <c r="C29" s="568"/>
      <c r="D29" s="568"/>
      <c r="E29" s="540"/>
      <c r="F29" s="541"/>
      <c r="G29" s="504"/>
      <c r="H29" s="503"/>
      <c r="I29" s="503"/>
      <c r="J29" s="503"/>
      <c r="K29" s="503"/>
      <c r="L29" s="503"/>
      <c r="M29" s="503"/>
      <c r="N29" s="503"/>
      <c r="O29" s="503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4.25" hidden="false" customHeight="false" outlineLevel="0" collapsed="false">
      <c r="A30" s="503"/>
      <c r="B30" s="504"/>
      <c r="C30" s="568"/>
      <c r="D30" s="568"/>
      <c r="E30" s="540"/>
      <c r="F30" s="541"/>
      <c r="G30" s="504"/>
      <c r="H30" s="503"/>
      <c r="I30" s="503"/>
      <c r="J30" s="503"/>
      <c r="K30" s="503"/>
      <c r="L30" s="503"/>
      <c r="M30" s="503"/>
      <c r="N30" s="503"/>
      <c r="O30" s="503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14.25" hidden="false" customHeight="false" outlineLevel="0" collapsed="false">
      <c r="A31" s="503"/>
      <c r="B31" s="504"/>
      <c r="C31" s="544"/>
      <c r="D31" s="546" t="s">
        <v>213</v>
      </c>
      <c r="E31" s="569" t="n">
        <f aca="false">SUM(E16:E30)</f>
        <v>0</v>
      </c>
      <c r="F31" s="533" t="n">
        <f aca="false">SUM(F16:F30)</f>
        <v>0</v>
      </c>
      <c r="G31" s="504"/>
      <c r="H31" s="503"/>
      <c r="I31" s="503"/>
      <c r="J31" s="503"/>
      <c r="K31" s="503"/>
      <c r="L31" s="503"/>
      <c r="M31" s="503"/>
      <c r="N31" s="503"/>
      <c r="O31" s="503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A32" s="503"/>
      <c r="B32" s="504"/>
      <c r="C32" s="550"/>
      <c r="D32" s="552" t="s">
        <v>427</v>
      </c>
      <c r="E32" s="553" t="s">
        <v>450</v>
      </c>
      <c r="F32" s="554" t="s">
        <v>451</v>
      </c>
      <c r="G32" s="504"/>
      <c r="H32" s="527"/>
      <c r="I32" s="527"/>
      <c r="J32" s="527"/>
      <c r="K32" s="527"/>
      <c r="L32" s="527"/>
      <c r="M32" s="527"/>
      <c r="N32" s="527"/>
      <c r="O32" s="527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A33" s="503"/>
      <c r="B33" s="504"/>
      <c r="C33" s="556"/>
      <c r="D33" s="556"/>
      <c r="E33" s="557"/>
      <c r="F33" s="557"/>
      <c r="G33" s="504"/>
      <c r="H33" s="503"/>
      <c r="I33" s="503"/>
      <c r="J33" s="503"/>
      <c r="K33" s="503"/>
      <c r="L33" s="503"/>
      <c r="M33" s="503"/>
      <c r="N33" s="503"/>
      <c r="O33" s="503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A34" s="542"/>
      <c r="B34" s="504"/>
      <c r="C34" s="511" t="s">
        <v>452</v>
      </c>
      <c r="D34" s="511"/>
      <c r="E34" s="511"/>
      <c r="F34" s="511"/>
      <c r="G34" s="504"/>
      <c r="H34" s="542"/>
      <c r="I34" s="542"/>
      <c r="J34" s="542"/>
      <c r="K34" s="542"/>
      <c r="L34" s="542"/>
      <c r="M34" s="542"/>
      <c r="N34" s="542"/>
      <c r="O34" s="542"/>
      <c r="P34" s="79" t="s">
        <v>79</v>
      </c>
      <c r="Q34" s="78"/>
      <c r="R34" s="78"/>
      <c r="S34" s="78"/>
      <c r="T34" s="79" t="s">
        <v>87</v>
      </c>
    </row>
    <row r="35" customFormat="false" ht="14.25" hidden="false" customHeight="false" outlineLevel="0" collapsed="false">
      <c r="A35" s="503"/>
      <c r="B35" s="504"/>
      <c r="C35" s="534" t="s">
        <v>453</v>
      </c>
      <c r="D35" s="534"/>
      <c r="E35" s="534"/>
      <c r="F35" s="534"/>
      <c r="G35" s="504"/>
      <c r="H35" s="503"/>
      <c r="I35" s="503"/>
      <c r="J35" s="503"/>
      <c r="K35" s="503"/>
      <c r="L35" s="503"/>
      <c r="M35" s="503"/>
      <c r="N35" s="503"/>
      <c r="O35" s="503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A36" s="549"/>
      <c r="B36" s="504"/>
      <c r="C36" s="535" t="s">
        <v>454</v>
      </c>
      <c r="D36" s="537" t="s">
        <v>423</v>
      </c>
      <c r="E36" s="537" t="s">
        <v>424</v>
      </c>
      <c r="F36" s="538" t="s">
        <v>425</v>
      </c>
      <c r="G36" s="504"/>
      <c r="H36" s="549"/>
      <c r="I36" s="549"/>
      <c r="J36" s="549"/>
      <c r="K36" s="549"/>
      <c r="L36" s="549"/>
      <c r="M36" s="549"/>
      <c r="N36" s="549"/>
      <c r="O36" s="549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A37" s="503"/>
      <c r="B37" s="504"/>
      <c r="C37" s="521"/>
      <c r="D37" s="570"/>
      <c r="E37" s="540"/>
      <c r="F37" s="541"/>
      <c r="G37" s="504"/>
      <c r="H37" s="503"/>
      <c r="I37" s="503"/>
      <c r="J37" s="503"/>
      <c r="K37" s="503"/>
      <c r="L37" s="503"/>
      <c r="M37" s="503"/>
      <c r="N37" s="503"/>
      <c r="O37" s="503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A38" s="503"/>
      <c r="B38" s="543"/>
      <c r="C38" s="524"/>
      <c r="D38" s="570"/>
      <c r="E38" s="540"/>
      <c r="F38" s="541"/>
      <c r="G38" s="543"/>
      <c r="H38" s="503"/>
      <c r="I38" s="503"/>
      <c r="J38" s="503"/>
      <c r="K38" s="503"/>
      <c r="L38" s="503"/>
      <c r="M38" s="503"/>
      <c r="N38" s="503"/>
      <c r="O38" s="503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A39" s="503"/>
      <c r="B39" s="504"/>
      <c r="C39" s="524"/>
      <c r="D39" s="570"/>
      <c r="E39" s="540"/>
      <c r="F39" s="541"/>
      <c r="G39" s="504"/>
      <c r="H39" s="503"/>
      <c r="I39" s="503"/>
      <c r="J39" s="503"/>
      <c r="K39" s="503"/>
      <c r="L39" s="503"/>
      <c r="M39" s="503"/>
      <c r="N39" s="503"/>
      <c r="O39" s="503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A40" s="503"/>
      <c r="B40" s="555"/>
      <c r="C40" s="524"/>
      <c r="D40" s="570"/>
      <c r="E40" s="540"/>
      <c r="F40" s="541"/>
      <c r="G40" s="555"/>
      <c r="H40" s="503"/>
      <c r="I40" s="503"/>
      <c r="J40" s="503"/>
      <c r="K40" s="503"/>
      <c r="L40" s="503"/>
      <c r="M40" s="503"/>
      <c r="N40" s="503"/>
      <c r="O40" s="503"/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A41" s="503"/>
      <c r="B41" s="504"/>
      <c r="C41" s="524"/>
      <c r="D41" s="570"/>
      <c r="E41" s="540"/>
      <c r="F41" s="541"/>
      <c r="G41" s="504"/>
      <c r="H41" s="503"/>
      <c r="I41" s="503"/>
      <c r="J41" s="503"/>
      <c r="K41" s="503"/>
      <c r="L41" s="503"/>
      <c r="M41" s="503"/>
      <c r="N41" s="503"/>
      <c r="O41" s="503"/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A42" s="542"/>
      <c r="B42" s="504"/>
      <c r="C42" s="524"/>
      <c r="D42" s="570"/>
      <c r="E42" s="540"/>
      <c r="F42" s="541"/>
      <c r="G42" s="504"/>
      <c r="H42" s="542"/>
      <c r="I42" s="542"/>
      <c r="J42" s="542"/>
      <c r="K42" s="542"/>
      <c r="L42" s="542"/>
      <c r="M42" s="542"/>
      <c r="N42" s="542"/>
      <c r="O42" s="542"/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A43" s="503"/>
      <c r="B43" s="504"/>
      <c r="C43" s="524"/>
      <c r="D43" s="570"/>
      <c r="E43" s="571"/>
      <c r="F43" s="572"/>
      <c r="G43" s="504"/>
      <c r="H43" s="503"/>
      <c r="I43" s="503"/>
      <c r="J43" s="503"/>
      <c r="K43" s="503"/>
      <c r="L43" s="503"/>
      <c r="M43" s="503"/>
      <c r="N43" s="503"/>
      <c r="O43" s="503"/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A44" s="503"/>
      <c r="B44" s="504"/>
      <c r="C44" s="544"/>
      <c r="D44" s="546" t="s">
        <v>213</v>
      </c>
      <c r="E44" s="569" t="n">
        <f aca="false">SUM(E37:E43)</f>
        <v>0</v>
      </c>
      <c r="F44" s="533" t="n">
        <f aca="false">SUM(F37:F43)</f>
        <v>0</v>
      </c>
      <c r="G44" s="504"/>
      <c r="H44" s="503"/>
      <c r="I44" s="503"/>
      <c r="J44" s="503"/>
      <c r="K44" s="503"/>
      <c r="L44" s="503"/>
      <c r="M44" s="503"/>
      <c r="N44" s="503"/>
      <c r="O44" s="503"/>
      <c r="P44" s="78"/>
      <c r="Q44" s="78"/>
      <c r="R44" s="78"/>
      <c r="S44" s="78"/>
      <c r="T44" s="78"/>
    </row>
    <row r="45" customFormat="false" ht="14.25" hidden="false" customHeight="false" outlineLevel="0" collapsed="false">
      <c r="A45" s="503"/>
      <c r="B45" s="504"/>
      <c r="C45" s="550"/>
      <c r="D45" s="552" t="s">
        <v>427</v>
      </c>
      <c r="E45" s="553" t="s">
        <v>455</v>
      </c>
      <c r="F45" s="554" t="s">
        <v>456</v>
      </c>
      <c r="G45" s="504"/>
      <c r="H45" s="503"/>
      <c r="I45" s="503"/>
      <c r="J45" s="503"/>
      <c r="K45" s="503"/>
      <c r="L45" s="503"/>
      <c r="M45" s="503"/>
      <c r="N45" s="503"/>
      <c r="O45" s="503"/>
      <c r="P45" s="78"/>
      <c r="Q45" s="78"/>
      <c r="R45" s="78"/>
      <c r="S45" s="78"/>
      <c r="T45" s="78"/>
    </row>
    <row r="46" customFormat="false" ht="14.25" hidden="false" customHeight="false" outlineLevel="0" collapsed="false">
      <c r="A46" s="503"/>
      <c r="B46" s="543"/>
      <c r="C46" s="543"/>
      <c r="D46" s="543"/>
      <c r="E46" s="557"/>
      <c r="F46" s="557"/>
      <c r="G46" s="543"/>
      <c r="H46" s="503"/>
      <c r="I46" s="503"/>
      <c r="J46" s="503"/>
      <c r="K46" s="503"/>
      <c r="L46" s="503"/>
      <c r="M46" s="503"/>
      <c r="N46" s="503"/>
      <c r="O46" s="503"/>
      <c r="Q46" s="78"/>
      <c r="R46" s="78"/>
      <c r="S46" s="78"/>
      <c r="T46" s="78"/>
    </row>
    <row r="47" customFormat="false" ht="14.25" hidden="false" customHeight="false" outlineLevel="0" collapsed="false">
      <c r="A47" s="503"/>
      <c r="B47" s="504"/>
      <c r="C47" s="573" t="s">
        <v>457</v>
      </c>
      <c r="D47" s="573"/>
      <c r="E47" s="573"/>
      <c r="F47" s="573"/>
      <c r="G47" s="504"/>
      <c r="H47" s="503"/>
      <c r="I47" s="503"/>
      <c r="J47" s="503"/>
      <c r="K47" s="503"/>
      <c r="L47" s="503"/>
      <c r="M47" s="503"/>
      <c r="N47" s="503"/>
      <c r="O47" s="503"/>
      <c r="Q47" s="78"/>
      <c r="R47" s="78"/>
      <c r="S47" s="78"/>
      <c r="T47" s="78"/>
    </row>
    <row r="48" customFormat="false" ht="14.25" hidden="false" customHeight="false" outlineLevel="0" collapsed="false">
      <c r="A48" s="503"/>
      <c r="B48" s="504"/>
      <c r="C48" s="535" t="s">
        <v>458</v>
      </c>
      <c r="D48" s="537" t="s">
        <v>423</v>
      </c>
      <c r="E48" s="537" t="s">
        <v>424</v>
      </c>
      <c r="F48" s="538" t="s">
        <v>425</v>
      </c>
      <c r="G48" s="504"/>
      <c r="H48" s="503"/>
      <c r="I48" s="503"/>
      <c r="J48" s="503"/>
      <c r="K48" s="503"/>
      <c r="L48" s="503"/>
      <c r="M48" s="503"/>
      <c r="N48" s="503"/>
      <c r="O48" s="503"/>
      <c r="S48" s="78"/>
    </row>
    <row r="49" customFormat="false" ht="14.25" hidden="false" customHeight="false" outlineLevel="0" collapsed="false">
      <c r="A49" s="542"/>
      <c r="B49" s="504"/>
      <c r="C49" s="521"/>
      <c r="D49" s="570"/>
      <c r="E49" s="540"/>
      <c r="F49" s="541"/>
      <c r="G49" s="504"/>
      <c r="H49" s="542"/>
      <c r="I49" s="542"/>
      <c r="J49" s="542"/>
      <c r="K49" s="542"/>
      <c r="L49" s="542"/>
      <c r="M49" s="542"/>
      <c r="N49" s="542"/>
      <c r="O49" s="542"/>
      <c r="S49" s="78"/>
    </row>
    <row r="50" customFormat="false" ht="14.25" hidden="false" customHeight="false" outlineLevel="0" collapsed="false">
      <c r="A50" s="503"/>
      <c r="B50" s="504"/>
      <c r="C50" s="524"/>
      <c r="D50" s="574"/>
      <c r="E50" s="575"/>
      <c r="F50" s="576"/>
      <c r="G50" s="504"/>
      <c r="H50" s="503"/>
      <c r="I50" s="503"/>
      <c r="J50" s="503"/>
      <c r="K50" s="503"/>
      <c r="L50" s="503"/>
      <c r="M50" s="503"/>
      <c r="N50" s="503"/>
      <c r="O50" s="503"/>
    </row>
    <row r="51" customFormat="false" ht="14.25" hidden="false" customHeight="false" outlineLevel="0" collapsed="false">
      <c r="A51" s="503"/>
      <c r="B51" s="504"/>
      <c r="C51" s="524"/>
      <c r="D51" s="574"/>
      <c r="E51" s="575"/>
      <c r="F51" s="576"/>
      <c r="G51" s="504"/>
      <c r="H51" s="503"/>
      <c r="I51" s="503"/>
      <c r="J51" s="503"/>
      <c r="K51" s="503"/>
      <c r="L51" s="503"/>
      <c r="M51" s="503"/>
      <c r="N51" s="503"/>
      <c r="O51" s="503"/>
    </row>
    <row r="52" customFormat="false" ht="14.25" hidden="false" customHeight="false" outlineLevel="0" collapsed="false">
      <c r="A52" s="503"/>
      <c r="B52" s="504"/>
      <c r="C52" s="524"/>
      <c r="D52" s="574"/>
      <c r="E52" s="575"/>
      <c r="F52" s="576"/>
      <c r="G52" s="504"/>
      <c r="H52" s="503"/>
      <c r="I52" s="503"/>
      <c r="J52" s="503"/>
      <c r="K52" s="503"/>
      <c r="L52" s="503"/>
      <c r="M52" s="503"/>
      <c r="N52" s="503"/>
      <c r="O52" s="503"/>
    </row>
    <row r="53" customFormat="false" ht="14.25" hidden="false" customHeight="false" outlineLevel="0" collapsed="false">
      <c r="A53" s="503"/>
      <c r="B53" s="543"/>
      <c r="C53" s="524"/>
      <c r="D53" s="574"/>
      <c r="E53" s="575"/>
      <c r="F53" s="576"/>
      <c r="G53" s="543"/>
      <c r="H53" s="503"/>
      <c r="I53" s="503"/>
      <c r="J53" s="503"/>
      <c r="K53" s="503"/>
      <c r="L53" s="503"/>
      <c r="M53" s="503"/>
      <c r="N53" s="503"/>
      <c r="O53" s="503"/>
    </row>
    <row r="54" customFormat="false" ht="14.25" hidden="false" customHeight="false" outlineLevel="0" collapsed="false">
      <c r="A54" s="503"/>
      <c r="B54" s="504"/>
      <c r="C54" s="524"/>
      <c r="D54" s="574"/>
      <c r="E54" s="575"/>
      <c r="F54" s="576"/>
      <c r="G54" s="504"/>
      <c r="H54" s="503"/>
      <c r="I54" s="503"/>
      <c r="J54" s="503"/>
      <c r="K54" s="503"/>
      <c r="L54" s="503"/>
      <c r="M54" s="503"/>
      <c r="N54" s="503"/>
      <c r="O54" s="503"/>
    </row>
    <row r="55" customFormat="false" ht="14.25" hidden="false" customHeight="false" outlineLevel="0" collapsed="false">
      <c r="A55" s="503"/>
      <c r="B55" s="504"/>
      <c r="C55" s="524"/>
      <c r="D55" s="574"/>
      <c r="E55" s="575"/>
      <c r="F55" s="576"/>
      <c r="G55" s="504"/>
      <c r="H55" s="503"/>
      <c r="I55" s="503"/>
      <c r="J55" s="503"/>
      <c r="K55" s="503"/>
      <c r="L55" s="503"/>
      <c r="M55" s="503"/>
      <c r="N55" s="503"/>
      <c r="O55" s="503"/>
    </row>
    <row r="56" customFormat="false" ht="14.25" hidden="false" customHeight="false" outlineLevel="0" collapsed="false">
      <c r="A56" s="503"/>
      <c r="B56" s="504"/>
      <c r="C56" s="544"/>
      <c r="D56" s="546" t="s">
        <v>426</v>
      </c>
      <c r="E56" s="547" t="n">
        <f aca="false">SUM(E49:E55)</f>
        <v>0</v>
      </c>
      <c r="F56" s="548" t="n">
        <f aca="false">SUM(F49:F55)</f>
        <v>0</v>
      </c>
      <c r="G56" s="504"/>
      <c r="H56" s="503"/>
      <c r="I56" s="503"/>
      <c r="J56" s="503"/>
      <c r="K56" s="503"/>
      <c r="L56" s="503"/>
      <c r="M56" s="503"/>
      <c r="N56" s="503"/>
      <c r="O56" s="503"/>
    </row>
    <row r="57" customFormat="false" ht="14.25" hidden="false" customHeight="false" outlineLevel="0" collapsed="false">
      <c r="A57" s="503"/>
      <c r="B57" s="504"/>
      <c r="C57" s="550"/>
      <c r="D57" s="552" t="s">
        <v>427</v>
      </c>
      <c r="E57" s="577" t="s">
        <v>459</v>
      </c>
      <c r="F57" s="578" t="s">
        <v>460</v>
      </c>
      <c r="G57" s="504"/>
      <c r="H57" s="503"/>
      <c r="I57" s="503"/>
      <c r="J57" s="503"/>
      <c r="K57" s="503"/>
      <c r="L57" s="503"/>
      <c r="M57" s="503"/>
      <c r="N57" s="503"/>
      <c r="O57" s="503"/>
    </row>
    <row r="58" customFormat="false" ht="14.25" hidden="false" customHeight="false" outlineLevel="0" collapsed="false">
      <c r="A58" s="503"/>
      <c r="B58" s="504"/>
      <c r="C58" s="562" t="s">
        <v>284</v>
      </c>
      <c r="D58" s="562"/>
      <c r="E58" s="562"/>
      <c r="F58" s="562"/>
      <c r="G58" s="504"/>
      <c r="H58" s="503"/>
      <c r="I58" s="503"/>
      <c r="J58" s="503"/>
      <c r="K58" s="503"/>
      <c r="L58" s="503"/>
      <c r="M58" s="503"/>
      <c r="N58" s="503"/>
      <c r="O58" s="503"/>
    </row>
    <row r="59" customFormat="false" ht="14.25" hidden="false" customHeight="false" outlineLevel="0" collapsed="false">
      <c r="A59" s="503"/>
      <c r="B59" s="504"/>
      <c r="C59" s="563" t="s">
        <v>461</v>
      </c>
      <c r="D59" s="563"/>
      <c r="E59" s="563"/>
      <c r="F59" s="563"/>
      <c r="G59" s="504"/>
      <c r="H59" s="503"/>
      <c r="I59" s="503"/>
      <c r="J59" s="503"/>
      <c r="K59" s="503"/>
      <c r="L59" s="503"/>
      <c r="M59" s="503"/>
      <c r="N59" s="503"/>
      <c r="O59" s="503"/>
    </row>
  </sheetData>
  <sheetProtection algorithmName="SHA-512" hashValue="UtiANwwZExJQD25gkGQFNZpLN5TSitAxoPpdMLi7EaU4biOP2LcPhswj+y55DlzAIGSlG5tsLk96JSCFKVAXHA==" saltValue="pSgoNnql+fk+BE+JCIFoTg==" spinCount="100000" sheet="true" objects="true" scenarios="true"/>
  <mergeCells count="30">
    <mergeCell ref="C3:F3"/>
    <mergeCell ref="C4:F4"/>
    <mergeCell ref="C6:F6"/>
    <mergeCell ref="C8:F8"/>
    <mergeCell ref="C10:F10"/>
    <mergeCell ref="C11:F11"/>
    <mergeCell ref="C12:F12"/>
    <mergeCell ref="C13:F13"/>
    <mergeCell ref="C14:F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4:F34"/>
    <mergeCell ref="C35:F35"/>
    <mergeCell ref="C47:F47"/>
    <mergeCell ref="C58:F58"/>
    <mergeCell ref="C59:F59"/>
  </mergeCells>
  <dataValidations count="2">
    <dataValidation allowBlank="true" error="Enter a dollar amount greater than zero." errorStyle="stop" operator="greaterThanOrEqual" showDropDown="false" showErrorMessage="true" showInputMessage="true" sqref="A1 E16:F29 E37:F42 E49:F54" type="decimal">
      <formula1>0</formula1>
      <formula2>0</formula2>
    </dataValidation>
    <dataValidation allowBlank="true" error="Enter a dollar amount greater than zero." errorStyle="stop" operator="greaterThanOrEqual" showDropDown="false" showErrorMessage="true" showInputMessage="true" sqref="E30:F30 E43:F43 E55:F55" type="none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49"/>
  <sheetViews>
    <sheetView showFormulas="false" showGridLines="true" showRowColHeaders="true" showZeros="true" rightToLeft="false" tabSelected="false" showOutlineSymbols="true" defaultGridColor="true" view="normal" topLeftCell="A6" colorId="64" zoomScale="100" zoomScaleNormal="100" zoomScalePageLayoutView="100" workbookViewId="0">
      <selection pane="topLeft" activeCell="A6" activeCellId="0" sqref="A6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3" min="1" style="1" width="3.62"/>
    <col collapsed="false" customWidth="true" hidden="false" outlineLevel="0" max="4" min="4" style="1" width="30.62"/>
    <col collapsed="false" customWidth="true" hidden="false" outlineLevel="0" max="12" min="5" style="1" width="15.38"/>
    <col collapsed="false" customWidth="true" hidden="false" outlineLevel="0" max="13" min="13" style="1" width="13.62"/>
    <col collapsed="false" customWidth="true" hidden="false" outlineLevel="0" max="15" min="14" style="1" width="3.62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239"/>
      <c r="B1" s="240"/>
      <c r="C1" s="241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240"/>
    </row>
    <row r="2" customFormat="false" ht="14.25" hidden="false" customHeight="false" outlineLevel="0" collapsed="false">
      <c r="A2" s="240"/>
      <c r="B2" s="242"/>
      <c r="C2" s="81" t="str">
        <f aca="false">Contents!B59</f>
        <v>Version: AS L 6 LARGE locked LOCAL</v>
      </c>
      <c r="D2" s="243"/>
      <c r="E2" s="243"/>
      <c r="F2" s="242"/>
      <c r="G2" s="242"/>
      <c r="H2" s="242"/>
      <c r="I2" s="243"/>
      <c r="J2" s="243"/>
      <c r="K2" s="242"/>
      <c r="L2" s="242"/>
      <c r="M2" s="242"/>
      <c r="N2" s="242"/>
      <c r="O2" s="24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240"/>
    </row>
    <row r="3" customFormat="false" ht="14.25" hidden="false" customHeight="false" outlineLevel="0" collapsed="false">
      <c r="A3" s="244"/>
      <c r="B3" s="245"/>
      <c r="C3" s="246" t="str">
        <f aca="false">Contents!$E$3</f>
        <v>THE SOCIETY FOR CREATIVE ANACHRONISM, INC.</v>
      </c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5"/>
      <c r="O3" s="24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244"/>
    </row>
    <row r="4" customFormat="false" ht="14.25" hidden="false" customHeight="false" outlineLevel="0" collapsed="false">
      <c r="A4" s="240"/>
      <c r="B4" s="245"/>
      <c r="C4" s="246" t="str">
        <f aca="false">Contents!$E$4</f>
        <v>FINANCIAL REPORT</v>
      </c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5"/>
      <c r="O4" s="24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240"/>
    </row>
    <row r="5" customFormat="false" ht="14.25" hidden="false" customHeight="false" outlineLevel="0" collapsed="false">
      <c r="A5" s="240"/>
      <c r="B5" s="242"/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2"/>
      <c r="O5" s="24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240"/>
    </row>
    <row r="6" customFormat="false" ht="14.25" hidden="false" customHeight="false" outlineLevel="0" collapsed="false">
      <c r="A6" s="579"/>
      <c r="B6" s="242"/>
      <c r="C6" s="248" t="str">
        <f aca="false">Contents!B58</f>
        <v>Branch:   SCA, Inc.- Middle Kingdom                                               Period:  1/01/2025             to     12/31/2025            .</v>
      </c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2"/>
      <c r="O6" s="579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579"/>
    </row>
    <row r="7" customFormat="false" ht="14.25" hidden="false" customHeight="false" outlineLevel="0" collapsed="false">
      <c r="A7" s="240"/>
      <c r="B7" s="580"/>
      <c r="C7" s="581"/>
      <c r="D7" s="581"/>
      <c r="E7" s="581"/>
      <c r="F7" s="581"/>
      <c r="G7" s="581"/>
      <c r="H7" s="581"/>
      <c r="I7" s="581"/>
      <c r="J7" s="581"/>
      <c r="K7" s="581"/>
      <c r="L7" s="581"/>
      <c r="M7" s="581"/>
      <c r="N7" s="580"/>
      <c r="O7" s="24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240"/>
    </row>
    <row r="8" customFormat="false" ht="17.35" hidden="false" customHeight="false" outlineLevel="0" collapsed="false">
      <c r="A8" s="579"/>
      <c r="B8" s="242"/>
      <c r="C8" s="249" t="s">
        <v>462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2"/>
      <c r="O8" s="579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579"/>
    </row>
    <row r="9" customFormat="false" ht="14.25" hidden="false" customHeight="false" outlineLevel="0" collapsed="false">
      <c r="A9" s="240"/>
      <c r="B9" s="580"/>
      <c r="C9" s="581"/>
      <c r="D9" s="580"/>
      <c r="E9" s="580"/>
      <c r="F9" s="580"/>
      <c r="G9" s="580"/>
      <c r="H9" s="580"/>
      <c r="I9" s="580"/>
      <c r="J9" s="580"/>
      <c r="K9" s="580"/>
      <c r="L9" s="580"/>
      <c r="M9" s="580"/>
      <c r="N9" s="580"/>
      <c r="O9" s="24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240"/>
    </row>
    <row r="10" customFormat="false" ht="14.25" hidden="false" customHeight="false" outlineLevel="0" collapsed="false">
      <c r="A10" s="240"/>
      <c r="B10" s="242"/>
      <c r="C10" s="582" t="s">
        <v>463</v>
      </c>
      <c r="D10" s="582"/>
      <c r="E10" s="582"/>
      <c r="F10" s="582"/>
      <c r="G10" s="582"/>
      <c r="H10" s="582"/>
      <c r="I10" s="582"/>
      <c r="J10" s="582"/>
      <c r="K10" s="582"/>
      <c r="L10" s="582"/>
      <c r="M10" s="582"/>
      <c r="N10" s="242"/>
      <c r="O10" s="24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240"/>
    </row>
    <row r="11" customFormat="false" ht="17.35" hidden="false" customHeight="false" outlineLevel="0" collapsed="false">
      <c r="A11" s="240"/>
      <c r="B11" s="242"/>
      <c r="C11" s="583" t="s">
        <v>464</v>
      </c>
      <c r="D11" s="583"/>
      <c r="E11" s="583"/>
      <c r="F11" s="583"/>
      <c r="G11" s="583"/>
      <c r="H11" s="583"/>
      <c r="I11" s="583"/>
      <c r="J11" s="583"/>
      <c r="K11" s="583"/>
      <c r="L11" s="583"/>
      <c r="M11" s="583"/>
      <c r="N11" s="584"/>
      <c r="O11" s="24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240"/>
    </row>
    <row r="12" customFormat="false" ht="17.35" hidden="false" customHeight="false" outlineLevel="0" collapsed="false">
      <c r="A12" s="579"/>
      <c r="B12" s="242"/>
      <c r="C12" s="585" t="s">
        <v>465</v>
      </c>
      <c r="D12" s="585"/>
      <c r="E12" s="585"/>
      <c r="F12" s="585"/>
      <c r="G12" s="585"/>
      <c r="H12" s="585"/>
      <c r="I12" s="585"/>
      <c r="J12" s="585"/>
      <c r="K12" s="585"/>
      <c r="L12" s="585"/>
      <c r="M12" s="585"/>
      <c r="N12" s="584"/>
      <c r="O12" s="579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240"/>
    </row>
    <row r="13" customFormat="false" ht="99.75" hidden="false" customHeight="true" outlineLevel="0" collapsed="false">
      <c r="A13" s="240"/>
      <c r="B13" s="580"/>
      <c r="C13" s="586" t="s">
        <v>466</v>
      </c>
      <c r="D13" s="586"/>
      <c r="E13" s="587"/>
      <c r="F13" s="588"/>
      <c r="G13" s="588"/>
      <c r="H13" s="588"/>
      <c r="I13" s="588"/>
      <c r="J13" s="588"/>
      <c r="K13" s="588"/>
      <c r="L13" s="588"/>
      <c r="M13" s="589" t="s">
        <v>467</v>
      </c>
      <c r="N13" s="580"/>
      <c r="O13" s="24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579"/>
    </row>
    <row r="14" customFormat="false" ht="14.25" hidden="false" customHeight="false" outlineLevel="0" collapsed="false">
      <c r="A14" s="240"/>
      <c r="B14" s="242"/>
      <c r="C14" s="590" t="s">
        <v>468</v>
      </c>
      <c r="D14" s="591" t="s">
        <v>469</v>
      </c>
      <c r="E14" s="592"/>
      <c r="F14" s="593"/>
      <c r="G14" s="593"/>
      <c r="H14" s="593"/>
      <c r="I14" s="593"/>
      <c r="J14" s="593"/>
      <c r="K14" s="593"/>
      <c r="L14" s="593"/>
      <c r="M14" s="589"/>
      <c r="N14" s="242"/>
      <c r="O14" s="24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240"/>
    </row>
    <row r="15" customFormat="false" ht="14.25" hidden="false" customHeight="false" outlineLevel="0" collapsed="false">
      <c r="A15" s="240"/>
      <c r="B15" s="242"/>
      <c r="C15" s="594" t="s">
        <v>470</v>
      </c>
      <c r="D15" s="594"/>
      <c r="E15" s="594"/>
      <c r="F15" s="594"/>
      <c r="G15" s="594"/>
      <c r="H15" s="594"/>
      <c r="I15" s="594"/>
      <c r="J15" s="594"/>
      <c r="K15" s="594"/>
      <c r="L15" s="594"/>
      <c r="M15" s="594"/>
      <c r="N15" s="242"/>
      <c r="O15" s="24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240"/>
    </row>
    <row r="16" customFormat="false" ht="26.25" hidden="false" customHeight="true" outlineLevel="0" collapsed="false">
      <c r="A16" s="240"/>
      <c r="B16" s="242"/>
      <c r="C16" s="595" t="s">
        <v>471</v>
      </c>
      <c r="D16" s="596" t="s">
        <v>472</v>
      </c>
      <c r="E16" s="597"/>
      <c r="F16" s="598"/>
      <c r="G16" s="598"/>
      <c r="H16" s="598"/>
      <c r="I16" s="598"/>
      <c r="J16" s="598"/>
      <c r="K16" s="598"/>
      <c r="L16" s="598"/>
      <c r="M16" s="599" t="s">
        <v>473</v>
      </c>
      <c r="N16" s="242"/>
      <c r="O16" s="24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240"/>
    </row>
    <row r="17" customFormat="false" ht="26.25" hidden="false" customHeight="true" outlineLevel="0" collapsed="false">
      <c r="A17" s="240"/>
      <c r="B17" s="242"/>
      <c r="C17" s="600" t="s">
        <v>474</v>
      </c>
      <c r="D17" s="601" t="s">
        <v>475</v>
      </c>
      <c r="E17" s="602"/>
      <c r="F17" s="603"/>
      <c r="G17" s="603"/>
      <c r="H17" s="603"/>
      <c r="I17" s="603"/>
      <c r="J17" s="603"/>
      <c r="K17" s="603"/>
      <c r="L17" s="603"/>
      <c r="M17" s="604" t="n">
        <f aca="false">SUM(E17:L17)</f>
        <v>0</v>
      </c>
      <c r="N17" s="242"/>
      <c r="O17" s="24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240"/>
    </row>
    <row r="18" customFormat="false" ht="14.25" hidden="false" customHeight="false" outlineLevel="0" collapsed="false">
      <c r="A18" s="240"/>
      <c r="B18" s="242"/>
      <c r="C18" s="594" t="s">
        <v>476</v>
      </c>
      <c r="D18" s="594"/>
      <c r="E18" s="594"/>
      <c r="F18" s="594"/>
      <c r="G18" s="594"/>
      <c r="H18" s="594"/>
      <c r="I18" s="594"/>
      <c r="J18" s="594"/>
      <c r="K18" s="594"/>
      <c r="L18" s="594"/>
      <c r="M18" s="594"/>
      <c r="N18" s="242"/>
      <c r="O18" s="240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240"/>
    </row>
    <row r="19" customFormat="false" ht="26.25" hidden="false" customHeight="true" outlineLevel="0" collapsed="false">
      <c r="A19" s="240"/>
      <c r="B19" s="242"/>
      <c r="C19" s="595" t="s">
        <v>477</v>
      </c>
      <c r="D19" s="596" t="s">
        <v>478</v>
      </c>
      <c r="E19" s="605"/>
      <c r="F19" s="606"/>
      <c r="G19" s="606"/>
      <c r="H19" s="606"/>
      <c r="I19" s="606"/>
      <c r="J19" s="606"/>
      <c r="K19" s="606"/>
      <c r="L19" s="607"/>
      <c r="M19" s="608"/>
      <c r="N19" s="242"/>
      <c r="O19" s="240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240"/>
    </row>
    <row r="20" customFormat="false" ht="26.25" hidden="false" customHeight="true" outlineLevel="0" collapsed="false">
      <c r="A20" s="240"/>
      <c r="B20" s="242"/>
      <c r="C20" s="609" t="s">
        <v>479</v>
      </c>
      <c r="D20" s="610" t="s">
        <v>480</v>
      </c>
      <c r="E20" s="602"/>
      <c r="F20" s="602"/>
      <c r="G20" s="602"/>
      <c r="H20" s="602"/>
      <c r="I20" s="602"/>
      <c r="J20" s="602"/>
      <c r="K20" s="602"/>
      <c r="L20" s="602"/>
      <c r="M20" s="611"/>
      <c r="N20" s="242"/>
      <c r="O20" s="240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240"/>
    </row>
    <row r="21" customFormat="false" ht="14.25" hidden="false" customHeight="false" outlineLevel="0" collapsed="false">
      <c r="A21" s="240"/>
      <c r="B21" s="242"/>
      <c r="C21" s="594" t="s">
        <v>481</v>
      </c>
      <c r="D21" s="594"/>
      <c r="E21" s="594"/>
      <c r="F21" s="594"/>
      <c r="G21" s="594"/>
      <c r="H21" s="594"/>
      <c r="I21" s="594"/>
      <c r="J21" s="594"/>
      <c r="K21" s="594"/>
      <c r="L21" s="594"/>
      <c r="M21" s="594"/>
      <c r="N21" s="242"/>
      <c r="O21" s="240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240"/>
    </row>
    <row r="22" customFormat="false" ht="26.25" hidden="false" customHeight="true" outlineLevel="0" collapsed="false">
      <c r="A22" s="240"/>
      <c r="B22" s="242"/>
      <c r="C22" s="612" t="s">
        <v>273</v>
      </c>
      <c r="D22" s="613" t="s">
        <v>482</v>
      </c>
      <c r="E22" s="614" t="n">
        <f aca="false">IF(AND(E16&gt;0,E17&gt;0),(E17/E16),IF(AND(E19&gt;0,E20&gt;0),(E20/E19),0))</f>
        <v>0</v>
      </c>
      <c r="F22" s="615" t="n">
        <f aca="false">IF(AND(F16&gt;0,F17&gt;0),(F17/F16),IF(AND(F19&gt;0,F20&gt;0),(F20/F19),0))</f>
        <v>0</v>
      </c>
      <c r="G22" s="615" t="n">
        <f aca="false">IF(AND(G16&gt;0,G17&gt;0),(G17/G16),IF(AND(G19&gt;0,G20&gt;0),(G20/G19),0))</f>
        <v>0</v>
      </c>
      <c r="H22" s="615" t="n">
        <f aca="false">IF(AND(H16&gt;0,H17&gt;0),(H17/H16),IF(AND(H19&gt;0,H20&gt;0),(H20/H19),0))</f>
        <v>0</v>
      </c>
      <c r="I22" s="615" t="n">
        <f aca="false">IF(AND(I16&gt;0,I17&gt;0),(I17/I16),IF(AND(I19&gt;0,I20&gt;0),(I20/I19),0))</f>
        <v>0</v>
      </c>
      <c r="J22" s="615" t="n">
        <f aca="false">IF(AND(J16&gt;0,J17&gt;0),(J17/J16),IF(AND(J19&gt;0,J20&gt;0),(J20/J19),0))</f>
        <v>0</v>
      </c>
      <c r="K22" s="615" t="n">
        <f aca="false">IF(AND(K16&gt;0,K17&gt;0),(K17/K16),IF(AND(K19&gt;0,K20&gt;0),(K20/K19),0))</f>
        <v>0</v>
      </c>
      <c r="L22" s="616" t="n">
        <f aca="false">IF(AND(L16&gt;0,L17&gt;0),(L17/L16),IF(AND(L19&gt;0,L20&gt;0),(L20/L19),0))</f>
        <v>0</v>
      </c>
      <c r="M22" s="617"/>
      <c r="N22" s="242"/>
      <c r="O22" s="240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240"/>
    </row>
    <row r="23" customFormat="false" ht="14.25" hidden="false" customHeight="false" outlineLevel="0" collapsed="false">
      <c r="A23" s="240"/>
      <c r="B23" s="242"/>
      <c r="C23" s="594" t="s">
        <v>483</v>
      </c>
      <c r="D23" s="594"/>
      <c r="E23" s="594"/>
      <c r="F23" s="594"/>
      <c r="G23" s="594"/>
      <c r="H23" s="594"/>
      <c r="I23" s="594"/>
      <c r="J23" s="594"/>
      <c r="K23" s="594"/>
      <c r="L23" s="594"/>
      <c r="M23" s="594"/>
      <c r="N23" s="242"/>
      <c r="O23" s="240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240"/>
    </row>
    <row r="24" customFormat="false" ht="26.25" hidden="false" customHeight="true" outlineLevel="0" collapsed="false">
      <c r="A24" s="240"/>
      <c r="B24" s="242"/>
      <c r="C24" s="618" t="s">
        <v>484</v>
      </c>
      <c r="D24" s="619" t="s">
        <v>485</v>
      </c>
      <c r="E24" s="605"/>
      <c r="F24" s="606"/>
      <c r="G24" s="606"/>
      <c r="H24" s="606"/>
      <c r="I24" s="606"/>
      <c r="J24" s="606"/>
      <c r="K24" s="606"/>
      <c r="L24" s="607"/>
      <c r="M24" s="608"/>
      <c r="N24" s="242"/>
      <c r="O24" s="240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240"/>
    </row>
    <row r="25" customFormat="false" ht="26.25" hidden="false" customHeight="true" outlineLevel="0" collapsed="false">
      <c r="A25" s="240"/>
      <c r="B25" s="242"/>
      <c r="C25" s="609" t="s">
        <v>486</v>
      </c>
      <c r="D25" s="610" t="s">
        <v>487</v>
      </c>
      <c r="E25" s="620"/>
      <c r="F25" s="621"/>
      <c r="G25" s="621"/>
      <c r="H25" s="621"/>
      <c r="I25" s="621"/>
      <c r="J25" s="621"/>
      <c r="K25" s="621"/>
      <c r="L25" s="622"/>
      <c r="M25" s="623"/>
      <c r="N25" s="242"/>
      <c r="O25" s="240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240"/>
    </row>
    <row r="26" customFormat="false" ht="26.25" hidden="false" customHeight="true" outlineLevel="0" collapsed="false">
      <c r="A26" s="240"/>
      <c r="B26" s="242"/>
      <c r="C26" s="609" t="s">
        <v>488</v>
      </c>
      <c r="D26" s="610" t="s">
        <v>489</v>
      </c>
      <c r="E26" s="624" t="n">
        <f aca="false">IF(E16&gt;0,E16,E19)-E24-E25</f>
        <v>0</v>
      </c>
      <c r="F26" s="625" t="n">
        <f aca="false">IF(F16&gt;0,F16,F19)-F24-F25</f>
        <v>0</v>
      </c>
      <c r="G26" s="625" t="n">
        <f aca="false">IF(G16&gt;0,G16,G19)-G24-G25</f>
        <v>0</v>
      </c>
      <c r="H26" s="625" t="n">
        <f aca="false">IF(H16&gt;0,H16,H19)-H24-H25</f>
        <v>0</v>
      </c>
      <c r="I26" s="625" t="n">
        <f aca="false">IF(I16&gt;0,I16,I19)-I24-I25</f>
        <v>0</v>
      </c>
      <c r="J26" s="625" t="n">
        <f aca="false">IF(J16&gt;0,J16,J19)-J24-J25</f>
        <v>0</v>
      </c>
      <c r="K26" s="625" t="n">
        <f aca="false">IF(K16&gt;0,K16,K19)-K24-K25</f>
        <v>0</v>
      </c>
      <c r="L26" s="626" t="n">
        <f aca="false">IF(L16&gt;0,L16,L19)-L24-L25</f>
        <v>0</v>
      </c>
      <c r="M26" s="627" t="s">
        <v>490</v>
      </c>
      <c r="N26" s="242"/>
      <c r="O26" s="240"/>
      <c r="P26" s="79" t="s">
        <v>174</v>
      </c>
      <c r="Q26" s="78"/>
      <c r="R26" s="78"/>
      <c r="S26" s="79" t="s">
        <v>83</v>
      </c>
      <c r="T26" s="79" t="s">
        <v>174</v>
      </c>
      <c r="U26" s="240"/>
    </row>
    <row r="27" customFormat="false" ht="26.25" hidden="false" customHeight="true" outlineLevel="0" collapsed="false">
      <c r="A27" s="240"/>
      <c r="B27" s="242"/>
      <c r="C27" s="612" t="s">
        <v>491</v>
      </c>
      <c r="D27" s="613" t="s">
        <v>492</v>
      </c>
      <c r="E27" s="628" t="n">
        <f aca="false">E26*E22</f>
        <v>0</v>
      </c>
      <c r="F27" s="629" t="n">
        <f aca="false">F26*F22</f>
        <v>0</v>
      </c>
      <c r="G27" s="629" t="n">
        <f aca="false">G26*G22</f>
        <v>0</v>
      </c>
      <c r="H27" s="629" t="n">
        <f aca="false">H26*H22</f>
        <v>0</v>
      </c>
      <c r="I27" s="629" t="n">
        <f aca="false">I26*I22</f>
        <v>0</v>
      </c>
      <c r="J27" s="629" t="n">
        <f aca="false">J26*J22</f>
        <v>0</v>
      </c>
      <c r="K27" s="629" t="n">
        <f aca="false">K26*K22</f>
        <v>0</v>
      </c>
      <c r="L27" s="630" t="n">
        <f aca="false">L26*L22</f>
        <v>0</v>
      </c>
      <c r="M27" s="631" t="n">
        <f aca="false">SUM(E27:L27)</f>
        <v>0</v>
      </c>
      <c r="N27" s="242"/>
      <c r="O27" s="240"/>
      <c r="P27" s="79" t="s">
        <v>177</v>
      </c>
      <c r="Q27" s="78"/>
      <c r="R27" s="78"/>
      <c r="S27" s="79" t="s">
        <v>85</v>
      </c>
      <c r="T27" s="79" t="s">
        <v>76</v>
      </c>
      <c r="U27" s="240"/>
    </row>
    <row r="28" customFormat="false" ht="14.25" hidden="false" customHeight="false" outlineLevel="0" collapsed="false">
      <c r="A28" s="240"/>
      <c r="B28" s="242"/>
      <c r="C28" s="594" t="s">
        <v>493</v>
      </c>
      <c r="D28" s="594"/>
      <c r="E28" s="594"/>
      <c r="F28" s="594"/>
      <c r="G28" s="594"/>
      <c r="H28" s="594"/>
      <c r="I28" s="594"/>
      <c r="J28" s="594"/>
      <c r="K28" s="594"/>
      <c r="L28" s="594"/>
      <c r="M28" s="594"/>
      <c r="N28" s="242"/>
      <c r="O28" s="240"/>
      <c r="P28" s="79" t="s">
        <v>178</v>
      </c>
      <c r="Q28" s="78"/>
      <c r="R28" s="78"/>
      <c r="S28" s="79" t="s">
        <v>86</v>
      </c>
      <c r="T28" s="79" t="s">
        <v>78</v>
      </c>
      <c r="U28" s="240"/>
    </row>
    <row r="29" customFormat="false" ht="26.25" hidden="false" customHeight="true" outlineLevel="0" collapsed="false">
      <c r="A29" s="240"/>
      <c r="B29" s="242"/>
      <c r="C29" s="632" t="s">
        <v>494</v>
      </c>
      <c r="D29" s="633" t="s">
        <v>495</v>
      </c>
      <c r="E29" s="634" t="n">
        <f aca="false">(E17+E20)-E27</f>
        <v>0</v>
      </c>
      <c r="F29" s="635" t="n">
        <f aca="false">(F17+F20)-F27</f>
        <v>0</v>
      </c>
      <c r="G29" s="635" t="n">
        <f aca="false">(G17+G20)-G27</f>
        <v>0</v>
      </c>
      <c r="H29" s="635" t="n">
        <f aca="false">(H17+H20)-H27</f>
        <v>0</v>
      </c>
      <c r="I29" s="635" t="n">
        <f aca="false">(I17+I20)-I27</f>
        <v>0</v>
      </c>
      <c r="J29" s="635" t="n">
        <f aca="false">(J17+J20)-J27</f>
        <v>0</v>
      </c>
      <c r="K29" s="635" t="n">
        <f aca="false">(K17+K20)-K27</f>
        <v>0</v>
      </c>
      <c r="L29" s="636" t="n">
        <f aca="false">(L17+L20)-L27</f>
        <v>0</v>
      </c>
      <c r="M29" s="631" t="n">
        <f aca="false">SUM(E29:L29)</f>
        <v>0</v>
      </c>
      <c r="N29" s="242"/>
      <c r="O29" s="240"/>
      <c r="P29" s="79" t="s">
        <v>179</v>
      </c>
      <c r="Q29" s="78"/>
      <c r="R29" s="78"/>
      <c r="S29" s="79" t="s">
        <v>87</v>
      </c>
      <c r="T29" s="79" t="s">
        <v>79</v>
      </c>
      <c r="U29" s="240"/>
    </row>
    <row r="30" customFormat="false" ht="26.25" hidden="false" customHeight="true" outlineLevel="0" collapsed="false">
      <c r="A30" s="240"/>
      <c r="B30" s="242"/>
      <c r="C30" s="637" t="s">
        <v>496</v>
      </c>
      <c r="D30" s="610" t="s">
        <v>497</v>
      </c>
      <c r="E30" s="638"/>
      <c r="F30" s="639"/>
      <c r="G30" s="639"/>
      <c r="H30" s="639"/>
      <c r="I30" s="639"/>
      <c r="J30" s="639"/>
      <c r="K30" s="639"/>
      <c r="L30" s="640"/>
      <c r="M30" s="631" t="n">
        <f aca="false">SUM(E30:L30)</f>
        <v>0</v>
      </c>
      <c r="N30" s="242"/>
      <c r="O30" s="240"/>
      <c r="P30" s="79" t="s">
        <v>180</v>
      </c>
      <c r="Q30" s="78"/>
      <c r="R30" s="78"/>
      <c r="S30" s="79" t="s">
        <v>91</v>
      </c>
      <c r="T30" s="79" t="s">
        <v>81</v>
      </c>
      <c r="U30" s="240"/>
    </row>
    <row r="31" customFormat="false" ht="26.25" hidden="false" customHeight="true" outlineLevel="0" collapsed="false">
      <c r="A31" s="240"/>
      <c r="B31" s="242"/>
      <c r="C31" s="641" t="s">
        <v>498</v>
      </c>
      <c r="D31" s="642" t="s">
        <v>499</v>
      </c>
      <c r="E31" s="643" t="n">
        <f aca="false">E30-E29</f>
        <v>0</v>
      </c>
      <c r="F31" s="644" t="n">
        <f aca="false">F30-F29</f>
        <v>0</v>
      </c>
      <c r="G31" s="644" t="n">
        <f aca="false">G30-G29</f>
        <v>0</v>
      </c>
      <c r="H31" s="644" t="n">
        <f aca="false">H30-H29</f>
        <v>0</v>
      </c>
      <c r="I31" s="644" t="n">
        <f aca="false">I30-I29</f>
        <v>0</v>
      </c>
      <c r="J31" s="644" t="n">
        <f aca="false">J30-J29</f>
        <v>0</v>
      </c>
      <c r="K31" s="644" t="n">
        <f aca="false">K30-K29</f>
        <v>0</v>
      </c>
      <c r="L31" s="645" t="n">
        <f aca="false">L30-L29</f>
        <v>0</v>
      </c>
      <c r="M31" s="646" t="s">
        <v>500</v>
      </c>
      <c r="N31" s="242"/>
      <c r="O31" s="240"/>
      <c r="P31" s="79" t="s">
        <v>181</v>
      </c>
      <c r="Q31" s="78"/>
      <c r="R31" s="78"/>
      <c r="S31" s="78"/>
      <c r="T31" s="79" t="s">
        <v>83</v>
      </c>
      <c r="U31" s="240"/>
    </row>
    <row r="32" customFormat="false" ht="14.25" hidden="false" customHeight="false" outlineLevel="0" collapsed="false">
      <c r="A32" s="240"/>
      <c r="B32" s="242"/>
      <c r="C32" s="647" t="s">
        <v>284</v>
      </c>
      <c r="D32" s="647"/>
      <c r="E32" s="647"/>
      <c r="F32" s="647"/>
      <c r="G32" s="647"/>
      <c r="H32" s="647"/>
      <c r="I32" s="647"/>
      <c r="J32" s="647"/>
      <c r="K32" s="647"/>
      <c r="L32" s="647"/>
      <c r="M32" s="647"/>
      <c r="N32" s="242"/>
      <c r="O32" s="240"/>
      <c r="P32" s="79" t="s">
        <v>76</v>
      </c>
      <c r="Q32" s="78"/>
      <c r="R32" s="78"/>
      <c r="S32" s="78"/>
      <c r="T32" s="79" t="s">
        <v>85</v>
      </c>
      <c r="U32" s="240"/>
    </row>
    <row r="33" customFormat="false" ht="14.25" hidden="false" customHeight="false" outlineLevel="0" collapsed="false">
      <c r="A33" s="240"/>
      <c r="B33" s="648"/>
      <c r="C33" s="301" t="s">
        <v>501</v>
      </c>
      <c r="D33" s="301"/>
      <c r="E33" s="301"/>
      <c r="F33" s="301"/>
      <c r="G33" s="301"/>
      <c r="H33" s="301"/>
      <c r="I33" s="301"/>
      <c r="J33" s="301"/>
      <c r="K33" s="301"/>
      <c r="L33" s="301"/>
      <c r="M33" s="301"/>
      <c r="N33" s="648"/>
      <c r="O33" s="240"/>
      <c r="P33" s="79" t="s">
        <v>78</v>
      </c>
      <c r="Q33" s="78"/>
      <c r="R33" s="78"/>
      <c r="S33" s="78"/>
      <c r="T33" s="79" t="s">
        <v>86</v>
      </c>
      <c r="U33" s="240"/>
    </row>
    <row r="34" customFormat="false" ht="14.25" hidden="false" customHeight="false" outlineLevel="0" collapsed="false">
      <c r="A34" s="240"/>
      <c r="B34" s="240"/>
      <c r="C34" s="241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  <c r="P34" s="79" t="s">
        <v>79</v>
      </c>
      <c r="Q34" s="78"/>
      <c r="R34" s="78"/>
      <c r="S34" s="78"/>
      <c r="T34" s="79" t="s">
        <v>87</v>
      </c>
      <c r="U34" s="240"/>
    </row>
    <row r="35" customFormat="false" ht="14.25" hidden="false" customHeight="false" outlineLevel="0" collapsed="false">
      <c r="A35" s="240"/>
      <c r="B35" s="240"/>
      <c r="C35" s="241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  <c r="O35" s="240"/>
      <c r="P35" s="79" t="s">
        <v>81</v>
      </c>
      <c r="Q35" s="78"/>
      <c r="R35" s="78"/>
      <c r="S35" s="78"/>
      <c r="T35" s="79" t="s">
        <v>89</v>
      </c>
      <c r="U35" s="240"/>
    </row>
    <row r="36" customFormat="false" ht="14.25" hidden="false" customHeight="false" outlineLevel="0" collapsed="false">
      <c r="A36" s="240"/>
      <c r="B36" s="240"/>
      <c r="C36" s="241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79" t="s">
        <v>83</v>
      </c>
      <c r="Q36" s="78"/>
      <c r="R36" s="78"/>
      <c r="S36" s="78"/>
      <c r="T36" s="79" t="s">
        <v>90</v>
      </c>
      <c r="U36" s="240"/>
    </row>
    <row r="37" customFormat="false" ht="14.25" hidden="false" customHeight="false" outlineLevel="0" collapsed="false">
      <c r="A37" s="240"/>
      <c r="B37" s="240"/>
      <c r="C37" s="241"/>
      <c r="D37" s="240"/>
      <c r="E37" s="240"/>
      <c r="F37" s="240"/>
      <c r="G37" s="240"/>
      <c r="H37" s="240"/>
      <c r="I37" s="240"/>
      <c r="J37" s="240"/>
      <c r="K37" s="240"/>
      <c r="L37" s="240"/>
      <c r="M37" s="240"/>
      <c r="N37" s="240"/>
      <c r="O37" s="240"/>
      <c r="P37" s="79" t="s">
        <v>85</v>
      </c>
      <c r="Q37" s="78"/>
      <c r="R37" s="78"/>
      <c r="S37" s="78"/>
      <c r="T37" s="79" t="s">
        <v>192</v>
      </c>
      <c r="U37" s="240"/>
    </row>
    <row r="38" customFormat="false" ht="14.25" hidden="false" customHeight="false" outlineLevel="0" collapsed="false">
      <c r="A38" s="240"/>
      <c r="B38" s="240"/>
      <c r="C38" s="241"/>
      <c r="D38" s="240"/>
      <c r="E38" s="240"/>
      <c r="F38" s="240"/>
      <c r="G38" s="240"/>
      <c r="H38" s="240"/>
      <c r="I38" s="240"/>
      <c r="J38" s="240"/>
      <c r="K38" s="240"/>
      <c r="L38" s="240"/>
      <c r="M38" s="240"/>
      <c r="N38" s="240"/>
      <c r="O38" s="240"/>
      <c r="P38" s="79" t="s">
        <v>86</v>
      </c>
      <c r="Q38" s="78"/>
      <c r="R38" s="78"/>
      <c r="S38" s="78"/>
      <c r="T38" s="79" t="s">
        <v>91</v>
      </c>
      <c r="U38" s="240"/>
    </row>
    <row r="39" customFormat="false" ht="14.25" hidden="false" customHeight="false" outlineLevel="0" collapsed="false">
      <c r="A39" s="240"/>
      <c r="B39" s="240"/>
      <c r="C39" s="241"/>
      <c r="D39" s="240"/>
      <c r="E39" s="240"/>
      <c r="F39" s="240"/>
      <c r="G39" s="240"/>
      <c r="H39" s="240"/>
      <c r="I39" s="240"/>
      <c r="J39" s="240"/>
      <c r="K39" s="240"/>
      <c r="L39" s="240"/>
      <c r="M39" s="240"/>
      <c r="N39" s="240"/>
      <c r="O39" s="240"/>
      <c r="P39" s="79" t="s">
        <v>87</v>
      </c>
      <c r="Q39" s="78"/>
      <c r="R39" s="78"/>
      <c r="S39" s="78"/>
      <c r="T39" s="79"/>
      <c r="U39" s="240"/>
    </row>
    <row r="40" customFormat="false" ht="14.25" hidden="false" customHeight="false" outlineLevel="0" collapsed="false">
      <c r="A40" s="240"/>
      <c r="B40" s="240"/>
      <c r="C40" s="241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79" t="s">
        <v>89</v>
      </c>
      <c r="Q40" s="78"/>
      <c r="R40" s="78"/>
      <c r="S40" s="78"/>
      <c r="T40" s="78"/>
      <c r="U40" s="240"/>
    </row>
    <row r="41" customFormat="false" ht="14.25" hidden="false" customHeight="false" outlineLevel="0" collapsed="false"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P44" s="78"/>
      <c r="Q44" s="78"/>
      <c r="R44" s="78"/>
      <c r="S44" s="78"/>
      <c r="T44" s="78"/>
    </row>
    <row r="45" customFormat="false" ht="14.25" hidden="false" customHeight="false" outlineLevel="0" collapsed="false">
      <c r="P45" s="78"/>
      <c r="Q45" s="78"/>
      <c r="R45" s="78"/>
      <c r="S45" s="78"/>
      <c r="T45" s="78"/>
    </row>
    <row r="46" customFormat="false" ht="14.25" hidden="false" customHeight="false" outlineLevel="0" collapsed="false">
      <c r="Q46" s="78"/>
      <c r="R46" s="78"/>
      <c r="S46" s="78"/>
      <c r="T46" s="78"/>
    </row>
    <row r="47" customFormat="false" ht="14.25" hidden="false" customHeight="false" outlineLevel="0" collapsed="false">
      <c r="Q47" s="78"/>
      <c r="R47" s="78"/>
      <c r="S47" s="78"/>
      <c r="T47" s="78"/>
    </row>
    <row r="48" customFormat="false" ht="14.25" hidden="false" customHeight="false" outlineLevel="0" collapsed="false">
      <c r="S48" s="78"/>
    </row>
    <row r="49" customFormat="false" ht="14.25" hidden="false" customHeight="false" outlineLevel="0" collapsed="false">
      <c r="S49" s="78"/>
    </row>
  </sheetData>
  <sheetProtection algorithmName="SHA-512" hashValue="udGi+YvHOnA/tuRnQcyeZW9lky8+MumObqv/wXkoL7PzC3IZjlAUXwPLhAY4LP447ya2TjO9fLL4zJ0uXpd/lw==" saltValue="RFTxvu2oNVofMmBfGL9SvQ==" spinCount="100000" sheet="true" objects="true" scenarios="true" selectLockedCells="true"/>
  <mergeCells count="16">
    <mergeCell ref="C3:M3"/>
    <mergeCell ref="C4:M4"/>
    <mergeCell ref="C6:M6"/>
    <mergeCell ref="C8:M8"/>
    <mergeCell ref="C10:M10"/>
    <mergeCell ref="C11:M11"/>
    <mergeCell ref="C12:M12"/>
    <mergeCell ref="C13:D13"/>
    <mergeCell ref="M13:M14"/>
    <mergeCell ref="C15:M15"/>
    <mergeCell ref="C18:M18"/>
    <mergeCell ref="C21:M21"/>
    <mergeCell ref="C23:M23"/>
    <mergeCell ref="C28:M28"/>
    <mergeCell ref="C32:M32"/>
    <mergeCell ref="C33:M33"/>
  </mergeCells>
  <conditionalFormatting sqref="O5:O16">
    <cfRule type="expression" priority="2" aboveAverage="0" equalAverage="0" bottom="0" percent="0" rank="0" text="" dxfId="22">
      <formula>OR(O$17&gt;0,O$18&gt;0)</formula>
    </cfRule>
  </conditionalFormatting>
  <conditionalFormatting sqref="L6:L12 M6:N17 L15">
    <cfRule type="expression" priority="3" aboveAverage="0" equalAverage="0" bottom="0" percent="0" rank="0" text="" dxfId="23">
      <formula>OR(L$18&gt;0,L$19&gt;0)</formula>
    </cfRule>
  </conditionalFormatting>
  <conditionalFormatting sqref="E19:L20">
    <cfRule type="expression" priority="4" aboveAverage="0" equalAverage="0" bottom="0" percent="0" rank="0" text="" dxfId="24">
      <formula>OR(E$16&gt;0,E$17&gt;0)</formula>
    </cfRule>
  </conditionalFormatting>
  <dataValidations count="3">
    <dataValidation allowBlank="true" error="Enter a dollar amount greater than zero." errorStyle="stop" operator="greaterThanOrEqual" showDropDown="false" showErrorMessage="true" showInputMessage="true" sqref="E14:L14 E17:L17 E30:L30" type="decimal">
      <formula1>0</formula1>
      <formula2>0</formula2>
    </dataValidation>
    <dataValidation allowBlank="true" error="Enter a whole quantity greater than or equal to zero." errorStyle="stop" operator="greaterThanOrEqual" showDropDown="false" showErrorMessage="true" showInputMessage="true" sqref="E16:L16 E19:L19 E24:L25" type="whole">
      <formula1>0</formula1>
      <formula2>0</formula2>
    </dataValidation>
    <dataValidation allowBlank="true" error="Enter a dollar amount greater than $250.00." errorStyle="stop" operator="greaterThanOrEqual" showDropDown="false" showErrorMessage="true" showInputMessage="true" sqref="E20:L20" type="decimal">
      <formula1>250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5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35.62"/>
    <col collapsed="false" customWidth="true" hidden="false" outlineLevel="0" max="4" min="4" style="1" width="6.62"/>
    <col collapsed="false" customWidth="false" hidden="false" outlineLevel="0" max="5" min="5" style="1" width="9.13"/>
    <col collapsed="false" customWidth="true" hidden="false" outlineLevel="0" max="9" min="6" style="1" width="15.38"/>
    <col collapsed="false" customWidth="true" hidden="false" outlineLevel="0" max="11" min="10" style="1" width="3.62"/>
    <col collapsed="false" customWidth="false" hidden="true" outlineLevel="0" max="15" min="12" style="1" width="9.1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64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69"/>
    </row>
    <row r="2" customFormat="false" ht="14.25" hidden="false" customHeight="false" outlineLevel="0" collapsed="false">
      <c r="A2" s="69"/>
      <c r="B2" s="650"/>
      <c r="C2" s="81" t="str">
        <f aca="false">Contents!B59</f>
        <v>Version: AS L 6 LARGE locked LOCAL</v>
      </c>
      <c r="D2" s="650"/>
      <c r="E2" s="650"/>
      <c r="F2" s="650"/>
      <c r="G2" s="650"/>
      <c r="H2" s="651"/>
      <c r="I2" s="651"/>
      <c r="J2" s="652"/>
      <c r="K2" s="69"/>
      <c r="L2" s="69"/>
      <c r="M2" s="69"/>
      <c r="N2" s="69"/>
      <c r="O2" s="69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69"/>
    </row>
    <row r="3" customFormat="false" ht="14.25" hidden="false" customHeight="false" outlineLevel="0" collapsed="false">
      <c r="A3" s="653"/>
      <c r="B3" s="654"/>
      <c r="C3" s="655" t="str">
        <f aca="false">Contents!$E$3</f>
        <v>THE SOCIETY FOR CREATIVE ANACHRONISM, INC.</v>
      </c>
      <c r="D3" s="655"/>
      <c r="E3" s="655"/>
      <c r="F3" s="655"/>
      <c r="G3" s="655"/>
      <c r="H3" s="655"/>
      <c r="I3" s="655"/>
      <c r="J3" s="656"/>
      <c r="K3" s="653"/>
      <c r="L3" s="653"/>
      <c r="M3" s="653"/>
      <c r="N3" s="653"/>
      <c r="O3" s="653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653"/>
    </row>
    <row r="4" customFormat="false" ht="14.25" hidden="false" customHeight="false" outlineLevel="0" collapsed="false">
      <c r="A4" s="69"/>
      <c r="B4" s="654"/>
      <c r="C4" s="655" t="str">
        <f aca="false">Contents!$E$4</f>
        <v>FINANCIAL REPORT</v>
      </c>
      <c r="D4" s="655"/>
      <c r="E4" s="655"/>
      <c r="F4" s="655"/>
      <c r="G4" s="655"/>
      <c r="H4" s="655"/>
      <c r="I4" s="655"/>
      <c r="J4" s="656"/>
      <c r="K4" s="69"/>
      <c r="L4" s="69"/>
      <c r="M4" s="69"/>
      <c r="N4" s="69"/>
      <c r="O4" s="69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69"/>
    </row>
    <row r="5" customFormat="false" ht="14.25" hidden="false" customHeight="false" outlineLevel="0" collapsed="false">
      <c r="A5" s="69"/>
      <c r="B5" s="650"/>
      <c r="C5" s="657"/>
      <c r="D5" s="650"/>
      <c r="E5" s="650"/>
      <c r="F5" s="650"/>
      <c r="G5" s="650"/>
      <c r="H5" s="657"/>
      <c r="I5" s="657"/>
      <c r="J5" s="652"/>
      <c r="K5" s="69"/>
      <c r="L5" s="69"/>
      <c r="M5" s="69"/>
      <c r="N5" s="69"/>
      <c r="O5" s="69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69"/>
    </row>
    <row r="6" customFormat="false" ht="14.25" hidden="false" customHeight="false" outlineLevel="0" collapsed="false">
      <c r="A6" s="69"/>
      <c r="B6" s="650"/>
      <c r="C6" s="658" t="str">
        <f aca="false">Contents!B58</f>
        <v>Branch:   SCA, Inc.- Middle Kingdom                                               Period:  1/01/2025             to     12/31/2025            .</v>
      </c>
      <c r="D6" s="658"/>
      <c r="E6" s="658"/>
      <c r="F6" s="658"/>
      <c r="G6" s="658"/>
      <c r="H6" s="658"/>
      <c r="I6" s="658"/>
      <c r="J6" s="652"/>
      <c r="K6" s="69"/>
      <c r="L6" s="69"/>
      <c r="M6" s="69"/>
      <c r="N6" s="69"/>
      <c r="O6" s="69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69"/>
    </row>
    <row r="7" customFormat="false" ht="14.25" hidden="false" customHeight="false" outlineLevel="0" collapsed="false">
      <c r="A7" s="69"/>
      <c r="B7" s="650"/>
      <c r="C7" s="657"/>
      <c r="D7" s="650"/>
      <c r="E7" s="650"/>
      <c r="F7" s="650"/>
      <c r="G7" s="650"/>
      <c r="H7" s="657"/>
      <c r="I7" s="657"/>
      <c r="J7" s="652"/>
      <c r="K7" s="69"/>
      <c r="L7" s="69"/>
      <c r="M7" s="69"/>
      <c r="N7" s="69"/>
      <c r="O7" s="69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69"/>
    </row>
    <row r="8" customFormat="false" ht="17.35" hidden="false" customHeight="false" outlineLevel="0" collapsed="false">
      <c r="A8" s="69"/>
      <c r="B8" s="650"/>
      <c r="C8" s="659" t="s">
        <v>502</v>
      </c>
      <c r="D8" s="659"/>
      <c r="E8" s="659"/>
      <c r="F8" s="659"/>
      <c r="G8" s="659"/>
      <c r="H8" s="659"/>
      <c r="I8" s="659"/>
      <c r="J8" s="652"/>
      <c r="K8" s="69"/>
      <c r="L8" s="69"/>
      <c r="M8" s="69"/>
      <c r="N8" s="69"/>
      <c r="O8" s="69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69"/>
    </row>
    <row r="9" customFormat="false" ht="14.25" hidden="false" customHeight="false" outlineLevel="0" collapsed="false">
      <c r="A9" s="69"/>
      <c r="B9" s="650"/>
      <c r="C9" s="657"/>
      <c r="D9" s="650"/>
      <c r="E9" s="650"/>
      <c r="F9" s="650"/>
      <c r="G9" s="650"/>
      <c r="H9" s="657"/>
      <c r="I9" s="657"/>
      <c r="J9" s="652"/>
      <c r="K9" s="69"/>
      <c r="L9" s="69"/>
      <c r="M9" s="69"/>
      <c r="N9" s="69"/>
      <c r="O9" s="69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69"/>
    </row>
    <row r="10" customFormat="false" ht="14.25" hidden="false" customHeight="false" outlineLevel="0" collapsed="false">
      <c r="A10" s="660"/>
      <c r="B10" s="650"/>
      <c r="C10" s="661" t="s">
        <v>503</v>
      </c>
      <c r="D10" s="661"/>
      <c r="E10" s="661"/>
      <c r="F10" s="661"/>
      <c r="G10" s="661"/>
      <c r="H10" s="661"/>
      <c r="I10" s="661"/>
      <c r="J10" s="652"/>
      <c r="K10" s="660"/>
      <c r="L10" s="660"/>
      <c r="M10" s="660"/>
      <c r="N10" s="660"/>
      <c r="O10" s="66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660"/>
    </row>
    <row r="11" customFormat="false" ht="14.25" hidden="false" customHeight="false" outlineLevel="0" collapsed="false">
      <c r="A11" s="660"/>
      <c r="B11" s="657"/>
      <c r="C11" s="662" t="s">
        <v>504</v>
      </c>
      <c r="D11" s="663"/>
      <c r="E11" s="663"/>
      <c r="F11" s="663"/>
      <c r="G11" s="663"/>
      <c r="H11" s="663"/>
      <c r="I11" s="664"/>
      <c r="J11" s="665"/>
      <c r="K11" s="660"/>
      <c r="L11" s="660"/>
      <c r="M11" s="660"/>
      <c r="N11" s="660"/>
      <c r="O11" s="66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660"/>
    </row>
    <row r="12" customFormat="false" ht="14.25" hidden="false" customHeight="false" outlineLevel="0" collapsed="false">
      <c r="A12" s="660"/>
      <c r="B12" s="657"/>
      <c r="C12" s="666" t="s">
        <v>505</v>
      </c>
      <c r="D12" s="666"/>
      <c r="E12" s="666"/>
      <c r="F12" s="666"/>
      <c r="G12" s="666"/>
      <c r="H12" s="666"/>
      <c r="I12" s="666"/>
      <c r="J12" s="665"/>
      <c r="K12" s="660"/>
      <c r="L12" s="660"/>
      <c r="M12" s="660"/>
      <c r="N12" s="660"/>
      <c r="O12" s="660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660"/>
    </row>
    <row r="13" customFormat="false" ht="14.25" hidden="false" customHeight="false" outlineLevel="0" collapsed="false">
      <c r="A13" s="69"/>
      <c r="B13" s="657"/>
      <c r="C13" s="667" t="s">
        <v>506</v>
      </c>
      <c r="D13" s="668"/>
      <c r="E13" s="668"/>
      <c r="F13" s="668"/>
      <c r="G13" s="668"/>
      <c r="H13" s="668"/>
      <c r="I13" s="669"/>
      <c r="J13" s="665"/>
      <c r="K13" s="69"/>
      <c r="L13" s="69"/>
      <c r="M13" s="69"/>
      <c r="N13" s="69"/>
      <c r="O13" s="69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69"/>
    </row>
    <row r="14" customFormat="false" ht="14.25" hidden="false" customHeight="false" outlineLevel="0" collapsed="false">
      <c r="A14" s="69"/>
      <c r="B14" s="657"/>
      <c r="C14" s="666" t="s">
        <v>507</v>
      </c>
      <c r="D14" s="666"/>
      <c r="E14" s="666"/>
      <c r="F14" s="666"/>
      <c r="G14" s="666"/>
      <c r="H14" s="666"/>
      <c r="I14" s="666"/>
      <c r="J14" s="665"/>
      <c r="K14" s="69"/>
      <c r="L14" s="69"/>
      <c r="M14" s="69"/>
      <c r="N14" s="69"/>
      <c r="O14" s="69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69"/>
    </row>
    <row r="15" customFormat="false" ht="14.25" hidden="false" customHeight="false" outlineLevel="0" collapsed="false">
      <c r="A15" s="69"/>
      <c r="B15" s="657"/>
      <c r="C15" s="670" t="s">
        <v>508</v>
      </c>
      <c r="D15" s="670"/>
      <c r="E15" s="670"/>
      <c r="F15" s="670"/>
      <c r="G15" s="670"/>
      <c r="H15" s="670"/>
      <c r="I15" s="670"/>
      <c r="J15" s="665"/>
      <c r="K15" s="69"/>
      <c r="L15" s="69"/>
      <c r="M15" s="69"/>
      <c r="N15" s="69"/>
      <c r="O15" s="69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69"/>
    </row>
    <row r="16" customFormat="false" ht="14.25" hidden="false" customHeight="false" outlineLevel="0" collapsed="false">
      <c r="A16" s="69"/>
      <c r="B16" s="657"/>
      <c r="C16" s="671"/>
      <c r="D16" s="671"/>
      <c r="E16" s="671"/>
      <c r="F16" s="671"/>
      <c r="G16" s="671"/>
      <c r="H16" s="671"/>
      <c r="I16" s="671"/>
      <c r="J16" s="665"/>
      <c r="K16" s="69"/>
      <c r="L16" s="69"/>
      <c r="M16" s="69"/>
      <c r="N16" s="69"/>
      <c r="O16" s="69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69"/>
    </row>
    <row r="17" customFormat="false" ht="14.25" hidden="false" customHeight="true" outlineLevel="0" collapsed="false">
      <c r="A17" s="69"/>
      <c r="B17" s="650"/>
      <c r="C17" s="672" t="s">
        <v>509</v>
      </c>
      <c r="D17" s="673" t="s">
        <v>510</v>
      </c>
      <c r="E17" s="674" t="s">
        <v>511</v>
      </c>
      <c r="F17" s="674" t="s">
        <v>512</v>
      </c>
      <c r="G17" s="674" t="s">
        <v>513</v>
      </c>
      <c r="H17" s="674" t="s">
        <v>514</v>
      </c>
      <c r="I17" s="675" t="s">
        <v>515</v>
      </c>
      <c r="J17" s="652"/>
      <c r="K17" s="69"/>
      <c r="L17" s="69"/>
      <c r="M17" s="69"/>
      <c r="N17" s="69"/>
      <c r="O17" s="69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69"/>
    </row>
    <row r="18" customFormat="false" ht="14.25" hidden="false" customHeight="false" outlineLevel="0" collapsed="false">
      <c r="A18" s="69"/>
      <c r="B18" s="650"/>
      <c r="C18" s="672"/>
      <c r="D18" s="673"/>
      <c r="E18" s="673"/>
      <c r="F18" s="674"/>
      <c r="G18" s="674"/>
      <c r="H18" s="674"/>
      <c r="I18" s="675"/>
      <c r="J18" s="652"/>
      <c r="K18" s="69"/>
      <c r="L18" s="69"/>
      <c r="M18" s="69"/>
      <c r="N18" s="69"/>
      <c r="O18" s="69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69"/>
    </row>
    <row r="19" customFormat="false" ht="14.25" hidden="false" customHeight="false" outlineLevel="0" collapsed="false">
      <c r="A19" s="69"/>
      <c r="B19" s="650"/>
      <c r="C19" s="672"/>
      <c r="D19" s="673"/>
      <c r="E19" s="673"/>
      <c r="F19" s="674"/>
      <c r="G19" s="674"/>
      <c r="H19" s="674"/>
      <c r="I19" s="675"/>
      <c r="J19" s="652"/>
      <c r="K19" s="69"/>
      <c r="L19" s="69"/>
      <c r="M19" s="69"/>
      <c r="N19" s="69"/>
      <c r="O19" s="69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69"/>
    </row>
    <row r="20" customFormat="false" ht="14.25" hidden="false" customHeight="false" outlineLevel="0" collapsed="false">
      <c r="A20" s="69"/>
      <c r="B20" s="650"/>
      <c r="C20" s="676"/>
      <c r="D20" s="677"/>
      <c r="E20" s="678"/>
      <c r="F20" s="679" t="n">
        <v>0</v>
      </c>
      <c r="G20" s="680"/>
      <c r="H20" s="681"/>
      <c r="I20" s="682" t="n">
        <f aca="false">IF(F20&gt;0,F20,G20)+H20</f>
        <v>0</v>
      </c>
      <c r="J20" s="652"/>
      <c r="K20" s="69"/>
      <c r="L20" s="69"/>
      <c r="M20" s="69"/>
      <c r="N20" s="69"/>
      <c r="O20" s="69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69"/>
    </row>
    <row r="21" customFormat="false" ht="14.25" hidden="false" customHeight="false" outlineLevel="0" collapsed="false">
      <c r="A21" s="69"/>
      <c r="B21" s="650"/>
      <c r="C21" s="683"/>
      <c r="D21" s="684"/>
      <c r="E21" s="685"/>
      <c r="F21" s="686" t="n">
        <v>0</v>
      </c>
      <c r="G21" s="686"/>
      <c r="H21" s="687"/>
      <c r="I21" s="688" t="n">
        <f aca="false">IF(F21&gt;0,F21,G21)+H21</f>
        <v>0</v>
      </c>
      <c r="J21" s="652"/>
      <c r="K21" s="69"/>
      <c r="L21" s="69"/>
      <c r="M21" s="69"/>
      <c r="N21" s="69"/>
      <c r="O21" s="69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69"/>
    </row>
    <row r="22" customFormat="false" ht="14.25" hidden="false" customHeight="false" outlineLevel="0" collapsed="false">
      <c r="A22" s="69"/>
      <c r="B22" s="650"/>
      <c r="C22" s="683"/>
      <c r="D22" s="689"/>
      <c r="E22" s="685"/>
      <c r="F22" s="686" t="n">
        <v>0</v>
      </c>
      <c r="G22" s="686"/>
      <c r="H22" s="687"/>
      <c r="I22" s="688" t="n">
        <f aca="false">IF(F22&gt;0,F22,G22)+H22</f>
        <v>0</v>
      </c>
      <c r="J22" s="652"/>
      <c r="K22" s="69"/>
      <c r="L22" s="69"/>
      <c r="M22" s="69"/>
      <c r="N22" s="69"/>
      <c r="O22" s="69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69"/>
    </row>
    <row r="23" customFormat="false" ht="14.25" hidden="false" customHeight="false" outlineLevel="0" collapsed="false">
      <c r="A23" s="69"/>
      <c r="B23" s="650"/>
      <c r="C23" s="683"/>
      <c r="D23" s="689"/>
      <c r="E23" s="685"/>
      <c r="F23" s="686" t="n">
        <v>0</v>
      </c>
      <c r="G23" s="686"/>
      <c r="H23" s="687"/>
      <c r="I23" s="688" t="n">
        <f aca="false">IF(F23&gt;0,F23,G23)+H23</f>
        <v>0</v>
      </c>
      <c r="J23" s="652"/>
      <c r="K23" s="69"/>
      <c r="L23" s="69"/>
      <c r="M23" s="69"/>
      <c r="N23" s="69"/>
      <c r="O23" s="69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69"/>
    </row>
    <row r="24" customFormat="false" ht="14.25" hidden="false" customHeight="false" outlineLevel="0" collapsed="false">
      <c r="A24" s="69"/>
      <c r="B24" s="650"/>
      <c r="C24" s="683"/>
      <c r="D24" s="689"/>
      <c r="E24" s="685"/>
      <c r="F24" s="686" t="n">
        <v>0</v>
      </c>
      <c r="G24" s="686"/>
      <c r="H24" s="687"/>
      <c r="I24" s="688" t="n">
        <f aca="false">IF(F24&gt;0,F24,G24)+H24</f>
        <v>0</v>
      </c>
      <c r="J24" s="652"/>
      <c r="K24" s="69"/>
      <c r="L24" s="69"/>
      <c r="M24" s="69"/>
      <c r="N24" s="69"/>
      <c r="O24" s="69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69"/>
    </row>
    <row r="25" customFormat="false" ht="14.25" hidden="false" customHeight="false" outlineLevel="0" collapsed="false">
      <c r="A25" s="69"/>
      <c r="B25" s="650"/>
      <c r="C25" s="683"/>
      <c r="D25" s="689"/>
      <c r="E25" s="685"/>
      <c r="F25" s="686" t="n">
        <v>0</v>
      </c>
      <c r="G25" s="686"/>
      <c r="H25" s="687"/>
      <c r="I25" s="688" t="n">
        <f aca="false">IF(F25&gt;0,F25,G25)+H25</f>
        <v>0</v>
      </c>
      <c r="J25" s="652"/>
      <c r="K25" s="69"/>
      <c r="L25" s="69"/>
      <c r="M25" s="69"/>
      <c r="N25" s="69"/>
      <c r="O25" s="69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69"/>
    </row>
    <row r="26" customFormat="false" ht="14.25" hidden="false" customHeight="false" outlineLevel="0" collapsed="false">
      <c r="A26" s="69"/>
      <c r="B26" s="650"/>
      <c r="C26" s="683"/>
      <c r="D26" s="689"/>
      <c r="E26" s="685"/>
      <c r="F26" s="686" t="n">
        <v>0</v>
      </c>
      <c r="G26" s="686"/>
      <c r="H26" s="687"/>
      <c r="I26" s="688" t="n">
        <f aca="false">IF(F26&gt;0,F26,G26)+H26</f>
        <v>0</v>
      </c>
      <c r="J26" s="652"/>
      <c r="K26" s="69"/>
      <c r="L26" s="69"/>
      <c r="M26" s="69"/>
      <c r="N26" s="69"/>
      <c r="O26" s="69"/>
      <c r="P26" s="79" t="s">
        <v>174</v>
      </c>
      <c r="Q26" s="78"/>
      <c r="R26" s="78"/>
      <c r="S26" s="79" t="s">
        <v>83</v>
      </c>
      <c r="T26" s="79" t="s">
        <v>174</v>
      </c>
      <c r="U26" s="69"/>
    </row>
    <row r="27" customFormat="false" ht="14.25" hidden="false" customHeight="false" outlineLevel="0" collapsed="false">
      <c r="A27" s="69"/>
      <c r="B27" s="650"/>
      <c r="C27" s="683"/>
      <c r="D27" s="689"/>
      <c r="E27" s="685"/>
      <c r="F27" s="686" t="n">
        <v>0</v>
      </c>
      <c r="G27" s="686"/>
      <c r="H27" s="687"/>
      <c r="I27" s="688" t="n">
        <f aca="false">IF(F27&gt;0,F27,G27)+H27</f>
        <v>0</v>
      </c>
      <c r="J27" s="652"/>
      <c r="K27" s="69"/>
      <c r="L27" s="69"/>
      <c r="M27" s="69"/>
      <c r="N27" s="69"/>
      <c r="O27" s="69"/>
      <c r="P27" s="79" t="s">
        <v>177</v>
      </c>
      <c r="Q27" s="78"/>
      <c r="R27" s="78"/>
      <c r="S27" s="79" t="s">
        <v>85</v>
      </c>
      <c r="T27" s="79" t="s">
        <v>76</v>
      </c>
      <c r="U27" s="69"/>
    </row>
    <row r="28" customFormat="false" ht="14.25" hidden="false" customHeight="false" outlineLevel="0" collapsed="false">
      <c r="A28" s="69"/>
      <c r="B28" s="650"/>
      <c r="C28" s="683"/>
      <c r="D28" s="684"/>
      <c r="E28" s="685"/>
      <c r="F28" s="686" t="n">
        <v>0</v>
      </c>
      <c r="G28" s="686"/>
      <c r="H28" s="687"/>
      <c r="I28" s="688" t="n">
        <f aca="false">IF(F28&gt;0,F28,G28)+H28</f>
        <v>0</v>
      </c>
      <c r="J28" s="652"/>
      <c r="K28" s="69"/>
      <c r="L28" s="69"/>
      <c r="M28" s="69"/>
      <c r="N28" s="69"/>
      <c r="O28" s="69"/>
      <c r="P28" s="79" t="s">
        <v>178</v>
      </c>
      <c r="Q28" s="78"/>
      <c r="R28" s="78"/>
      <c r="S28" s="79" t="s">
        <v>86</v>
      </c>
      <c r="T28" s="79" t="s">
        <v>78</v>
      </c>
      <c r="U28" s="69"/>
    </row>
    <row r="29" customFormat="false" ht="14.25" hidden="false" customHeight="false" outlineLevel="0" collapsed="false">
      <c r="A29" s="69"/>
      <c r="B29" s="650"/>
      <c r="C29" s="683"/>
      <c r="D29" s="684"/>
      <c r="E29" s="685"/>
      <c r="F29" s="686" t="n">
        <v>0</v>
      </c>
      <c r="G29" s="686"/>
      <c r="H29" s="687"/>
      <c r="I29" s="688" t="n">
        <f aca="false">IF(F29&gt;0,F29,G29)+H29</f>
        <v>0</v>
      </c>
      <c r="J29" s="652"/>
      <c r="K29" s="69"/>
      <c r="L29" s="69"/>
      <c r="M29" s="69"/>
      <c r="N29" s="69"/>
      <c r="O29" s="69"/>
      <c r="P29" s="79" t="s">
        <v>179</v>
      </c>
      <c r="Q29" s="78"/>
      <c r="R29" s="78"/>
      <c r="S29" s="79" t="s">
        <v>87</v>
      </c>
      <c r="T29" s="79" t="s">
        <v>79</v>
      </c>
      <c r="U29" s="69"/>
    </row>
    <row r="30" customFormat="false" ht="14.25" hidden="false" customHeight="false" outlineLevel="0" collapsed="false">
      <c r="A30" s="69"/>
      <c r="B30" s="650"/>
      <c r="C30" s="683"/>
      <c r="D30" s="684"/>
      <c r="E30" s="685"/>
      <c r="F30" s="686" t="n">
        <v>0</v>
      </c>
      <c r="G30" s="686"/>
      <c r="H30" s="687"/>
      <c r="I30" s="688" t="n">
        <f aca="false">IF(F30&gt;0,F30,G30)+H30</f>
        <v>0</v>
      </c>
      <c r="J30" s="652"/>
      <c r="K30" s="69"/>
      <c r="L30" s="69"/>
      <c r="M30" s="69"/>
      <c r="N30" s="69"/>
      <c r="O30" s="69"/>
      <c r="P30" s="79" t="s">
        <v>180</v>
      </c>
      <c r="Q30" s="78"/>
      <c r="R30" s="78"/>
      <c r="S30" s="79" t="s">
        <v>91</v>
      </c>
      <c r="T30" s="79" t="s">
        <v>81</v>
      </c>
      <c r="U30" s="69"/>
    </row>
    <row r="31" customFormat="false" ht="14.25" hidden="false" customHeight="false" outlineLevel="0" collapsed="false">
      <c r="A31" s="690"/>
      <c r="B31" s="650"/>
      <c r="C31" s="683"/>
      <c r="D31" s="684"/>
      <c r="E31" s="685"/>
      <c r="F31" s="686" t="n">
        <v>0</v>
      </c>
      <c r="G31" s="686"/>
      <c r="H31" s="687"/>
      <c r="I31" s="688" t="n">
        <f aca="false">IF(F31&gt;0,F31,G31)+H31</f>
        <v>0</v>
      </c>
      <c r="J31" s="652"/>
      <c r="K31" s="690"/>
      <c r="L31" s="690"/>
      <c r="M31" s="690"/>
      <c r="N31" s="690"/>
      <c r="O31" s="690"/>
      <c r="P31" s="79" t="s">
        <v>181</v>
      </c>
      <c r="Q31" s="78"/>
      <c r="R31" s="78"/>
      <c r="S31" s="78"/>
      <c r="T31" s="79" t="s">
        <v>83</v>
      </c>
      <c r="U31" s="690"/>
    </row>
    <row r="32" customFormat="false" ht="14.25" hidden="false" customHeight="false" outlineLevel="0" collapsed="false">
      <c r="A32" s="69"/>
      <c r="B32" s="650"/>
      <c r="C32" s="691"/>
      <c r="D32" s="692"/>
      <c r="E32" s="693" t="s">
        <v>213</v>
      </c>
      <c r="F32" s="694" t="n">
        <f aca="false">SUM(F20:F31)</f>
        <v>0</v>
      </c>
      <c r="G32" s="695"/>
      <c r="H32" s="694" t="n">
        <f aca="false">SUMIF(H20:H31,"&gt;0",H20:H31)</f>
        <v>0</v>
      </c>
      <c r="I32" s="696" t="n">
        <f aca="false">SUM(I20:I31)</f>
        <v>0</v>
      </c>
      <c r="J32" s="697"/>
      <c r="K32" s="69"/>
      <c r="L32" s="69"/>
      <c r="M32" s="69"/>
      <c r="N32" s="69"/>
      <c r="O32" s="69"/>
      <c r="P32" s="79" t="s">
        <v>76</v>
      </c>
      <c r="Q32" s="78"/>
      <c r="R32" s="78"/>
      <c r="S32" s="78"/>
      <c r="T32" s="79" t="s">
        <v>85</v>
      </c>
      <c r="U32" s="69"/>
    </row>
    <row r="33" customFormat="false" ht="23.9" hidden="false" customHeight="false" outlineLevel="0" collapsed="false">
      <c r="A33" s="69"/>
      <c r="B33" s="650"/>
      <c r="C33" s="698"/>
      <c r="D33" s="699"/>
      <c r="E33" s="700" t="s">
        <v>516</v>
      </c>
      <c r="F33" s="701" t="s">
        <v>517</v>
      </c>
      <c r="G33" s="695"/>
      <c r="H33" s="701" t="s">
        <v>518</v>
      </c>
      <c r="I33" s="702" t="s">
        <v>519</v>
      </c>
      <c r="J33" s="652"/>
      <c r="K33" s="69"/>
      <c r="L33" s="69"/>
      <c r="M33" s="69"/>
      <c r="N33" s="69"/>
      <c r="O33" s="69"/>
      <c r="P33" s="79" t="s">
        <v>78</v>
      </c>
      <c r="Q33" s="78"/>
      <c r="R33" s="78"/>
      <c r="S33" s="78"/>
      <c r="T33" s="79" t="s">
        <v>86</v>
      </c>
      <c r="U33" s="69"/>
    </row>
    <row r="34" customFormat="false" ht="14.25" hidden="false" customHeight="false" outlineLevel="0" collapsed="false">
      <c r="A34" s="69"/>
      <c r="B34" s="650"/>
      <c r="C34" s="650"/>
      <c r="D34" s="650"/>
      <c r="E34" s="650"/>
      <c r="F34" s="650"/>
      <c r="G34" s="650"/>
      <c r="H34" s="650"/>
      <c r="I34" s="650"/>
      <c r="J34" s="652"/>
      <c r="K34" s="69"/>
      <c r="L34" s="69"/>
      <c r="M34" s="69"/>
      <c r="N34" s="69"/>
      <c r="O34" s="69"/>
      <c r="P34" s="79" t="s">
        <v>79</v>
      </c>
      <c r="Q34" s="78"/>
      <c r="R34" s="78"/>
      <c r="S34" s="78"/>
      <c r="T34" s="79" t="s">
        <v>87</v>
      </c>
      <c r="U34" s="69"/>
    </row>
    <row r="35" customFormat="false" ht="14.25" hidden="false" customHeight="true" outlineLevel="0" collapsed="false">
      <c r="A35" s="69"/>
      <c r="B35" s="703"/>
      <c r="C35" s="704" t="s">
        <v>520</v>
      </c>
      <c r="D35" s="704"/>
      <c r="E35" s="704"/>
      <c r="F35" s="704"/>
      <c r="G35" s="704"/>
      <c r="H35" s="704"/>
      <c r="I35" s="704"/>
      <c r="J35" s="705"/>
      <c r="K35" s="69"/>
      <c r="L35" s="69"/>
      <c r="M35" s="69"/>
      <c r="N35" s="69"/>
      <c r="O35" s="69"/>
      <c r="P35" s="79" t="s">
        <v>81</v>
      </c>
      <c r="Q35" s="78"/>
      <c r="R35" s="78"/>
      <c r="S35" s="78"/>
      <c r="T35" s="79" t="s">
        <v>89</v>
      </c>
      <c r="U35" s="69"/>
    </row>
    <row r="36" customFormat="false" ht="23.9" hidden="false" customHeight="true" outlineLevel="0" collapsed="false">
      <c r="A36" s="69"/>
      <c r="B36" s="650"/>
      <c r="C36" s="706" t="s">
        <v>521</v>
      </c>
      <c r="D36" s="706"/>
      <c r="E36" s="706"/>
      <c r="F36" s="706"/>
      <c r="G36" s="706"/>
      <c r="H36" s="674" t="s">
        <v>522</v>
      </c>
      <c r="I36" s="675" t="s">
        <v>523</v>
      </c>
      <c r="J36" s="652"/>
      <c r="K36" s="69"/>
      <c r="L36" s="69"/>
      <c r="M36" s="69"/>
      <c r="N36" s="69"/>
      <c r="O36" s="69"/>
      <c r="P36" s="79" t="s">
        <v>83</v>
      </c>
      <c r="Q36" s="78"/>
      <c r="R36" s="78"/>
      <c r="S36" s="78"/>
      <c r="T36" s="79" t="s">
        <v>90</v>
      </c>
      <c r="U36" s="69"/>
    </row>
    <row r="37" customFormat="false" ht="14.25" hidden="false" customHeight="false" outlineLevel="0" collapsed="false">
      <c r="A37" s="69"/>
      <c r="B37" s="650"/>
      <c r="C37" s="676"/>
      <c r="D37" s="676"/>
      <c r="E37" s="676"/>
      <c r="F37" s="676"/>
      <c r="G37" s="676"/>
      <c r="H37" s="707"/>
      <c r="I37" s="708"/>
      <c r="J37" s="652"/>
      <c r="K37" s="69"/>
      <c r="L37" s="69"/>
      <c r="M37" s="69"/>
      <c r="N37" s="69"/>
      <c r="O37" s="69"/>
      <c r="P37" s="79" t="s">
        <v>85</v>
      </c>
      <c r="Q37" s="78"/>
      <c r="R37" s="78"/>
      <c r="S37" s="78"/>
      <c r="T37" s="79" t="s">
        <v>192</v>
      </c>
      <c r="U37" s="69"/>
    </row>
    <row r="38" customFormat="false" ht="14.25" hidden="false" customHeight="false" outlineLevel="0" collapsed="false">
      <c r="A38" s="69"/>
      <c r="B38" s="650"/>
      <c r="C38" s="683"/>
      <c r="D38" s="683"/>
      <c r="E38" s="683"/>
      <c r="F38" s="683"/>
      <c r="G38" s="683"/>
      <c r="H38" s="709"/>
      <c r="I38" s="710"/>
      <c r="J38" s="652"/>
      <c r="K38" s="69"/>
      <c r="L38" s="69"/>
      <c r="M38" s="69"/>
      <c r="N38" s="69"/>
      <c r="O38" s="69"/>
      <c r="P38" s="79" t="s">
        <v>86</v>
      </c>
      <c r="Q38" s="78"/>
      <c r="R38" s="78"/>
      <c r="S38" s="78"/>
      <c r="T38" s="79" t="s">
        <v>91</v>
      </c>
      <c r="U38" s="69"/>
    </row>
    <row r="39" customFormat="false" ht="14.25" hidden="false" customHeight="false" outlineLevel="0" collapsed="false">
      <c r="A39" s="69"/>
      <c r="B39" s="650"/>
      <c r="C39" s="683"/>
      <c r="D39" s="683"/>
      <c r="E39" s="683"/>
      <c r="F39" s="683"/>
      <c r="G39" s="683"/>
      <c r="H39" s="709"/>
      <c r="I39" s="710"/>
      <c r="J39" s="652"/>
      <c r="K39" s="69"/>
      <c r="L39" s="69"/>
      <c r="M39" s="69"/>
      <c r="N39" s="69"/>
      <c r="O39" s="69"/>
      <c r="P39" s="79" t="s">
        <v>87</v>
      </c>
      <c r="Q39" s="78"/>
      <c r="R39" s="78"/>
      <c r="S39" s="78"/>
      <c r="T39" s="79"/>
      <c r="U39" s="69"/>
    </row>
    <row r="40" customFormat="false" ht="14.25" hidden="false" customHeight="false" outlineLevel="0" collapsed="false">
      <c r="A40" s="69"/>
      <c r="B40" s="650"/>
      <c r="C40" s="683"/>
      <c r="D40" s="683"/>
      <c r="E40" s="683"/>
      <c r="F40" s="683"/>
      <c r="G40" s="683"/>
      <c r="H40" s="709"/>
      <c r="I40" s="710"/>
      <c r="J40" s="652"/>
      <c r="K40" s="69"/>
      <c r="L40" s="69"/>
      <c r="M40" s="69"/>
      <c r="N40" s="69"/>
      <c r="O40" s="69"/>
      <c r="P40" s="79" t="s">
        <v>89</v>
      </c>
      <c r="Q40" s="78"/>
      <c r="R40" s="78"/>
      <c r="S40" s="78"/>
      <c r="T40" s="78"/>
      <c r="U40" s="69"/>
    </row>
    <row r="41" customFormat="false" ht="14.25" hidden="false" customHeight="false" outlineLevel="0" collapsed="false">
      <c r="A41" s="69"/>
      <c r="B41" s="650"/>
      <c r="C41" s="683"/>
      <c r="D41" s="683"/>
      <c r="E41" s="683"/>
      <c r="F41" s="683"/>
      <c r="G41" s="683"/>
      <c r="H41" s="709"/>
      <c r="I41" s="710"/>
      <c r="J41" s="652"/>
      <c r="K41" s="69"/>
      <c r="L41" s="69"/>
      <c r="M41" s="69"/>
      <c r="N41" s="69"/>
      <c r="O41" s="69"/>
      <c r="P41" s="79" t="s">
        <v>90</v>
      </c>
      <c r="Q41" s="78"/>
      <c r="R41" s="78"/>
      <c r="S41" s="78"/>
      <c r="T41" s="117"/>
      <c r="U41" s="69"/>
    </row>
    <row r="42" customFormat="false" ht="14.25" hidden="false" customHeight="false" outlineLevel="0" collapsed="false">
      <c r="A42" s="69"/>
      <c r="B42" s="650"/>
      <c r="C42" s="683"/>
      <c r="D42" s="683"/>
      <c r="E42" s="683"/>
      <c r="F42" s="683"/>
      <c r="G42" s="683"/>
      <c r="H42" s="709"/>
      <c r="I42" s="710"/>
      <c r="J42" s="652"/>
      <c r="K42" s="69"/>
      <c r="L42" s="69"/>
      <c r="M42" s="69"/>
      <c r="N42" s="69"/>
      <c r="O42" s="69"/>
      <c r="P42" s="79" t="s">
        <v>192</v>
      </c>
      <c r="Q42" s="78"/>
      <c r="R42" s="78"/>
      <c r="S42" s="78"/>
      <c r="T42" s="78"/>
      <c r="U42" s="69"/>
    </row>
    <row r="43" customFormat="false" ht="14.25" hidden="false" customHeight="false" outlineLevel="0" collapsed="false">
      <c r="A43" s="69"/>
      <c r="B43" s="650"/>
      <c r="C43" s="683"/>
      <c r="D43" s="683"/>
      <c r="E43" s="683"/>
      <c r="F43" s="683"/>
      <c r="G43" s="683"/>
      <c r="H43" s="709"/>
      <c r="I43" s="710"/>
      <c r="J43" s="652"/>
      <c r="K43" s="69"/>
      <c r="L43" s="69"/>
      <c r="M43" s="69"/>
      <c r="N43" s="69"/>
      <c r="O43" s="69"/>
      <c r="P43" s="79" t="s">
        <v>91</v>
      </c>
      <c r="Q43" s="78"/>
      <c r="R43" s="78"/>
      <c r="S43" s="78"/>
      <c r="T43" s="78"/>
      <c r="U43" s="69"/>
    </row>
    <row r="44" customFormat="false" ht="14.25" hidden="false" customHeight="false" outlineLevel="0" collapsed="false">
      <c r="A44" s="69"/>
      <c r="B44" s="650"/>
      <c r="C44" s="683"/>
      <c r="D44" s="683"/>
      <c r="E44" s="683"/>
      <c r="F44" s="683"/>
      <c r="G44" s="683"/>
      <c r="H44" s="709"/>
      <c r="I44" s="710"/>
      <c r="J44" s="652"/>
      <c r="K44" s="69"/>
      <c r="L44" s="69"/>
      <c r="M44" s="69"/>
      <c r="N44" s="69"/>
      <c r="O44" s="69"/>
      <c r="P44" s="78"/>
      <c r="Q44" s="78"/>
      <c r="R44" s="78"/>
      <c r="S44" s="78"/>
      <c r="T44" s="78"/>
      <c r="U44" s="69"/>
    </row>
    <row r="45" customFormat="false" ht="14.25" hidden="false" customHeight="false" outlineLevel="0" collapsed="false">
      <c r="A45" s="69"/>
      <c r="B45" s="650"/>
      <c r="C45" s="683"/>
      <c r="D45" s="683"/>
      <c r="E45" s="683"/>
      <c r="F45" s="683"/>
      <c r="G45" s="683"/>
      <c r="H45" s="709"/>
      <c r="I45" s="710"/>
      <c r="J45" s="652"/>
      <c r="K45" s="69"/>
      <c r="L45" s="69"/>
      <c r="M45" s="69"/>
      <c r="N45" s="69"/>
      <c r="O45" s="69"/>
      <c r="P45" s="78"/>
      <c r="Q45" s="78"/>
      <c r="R45" s="78"/>
      <c r="S45" s="78"/>
      <c r="T45" s="78"/>
      <c r="U45" s="69"/>
    </row>
    <row r="46" customFormat="false" ht="14.25" hidden="false" customHeight="false" outlineLevel="0" collapsed="false">
      <c r="A46" s="69"/>
      <c r="B46" s="650"/>
      <c r="C46" s="683"/>
      <c r="D46" s="683"/>
      <c r="E46" s="683"/>
      <c r="F46" s="683"/>
      <c r="G46" s="683"/>
      <c r="H46" s="709"/>
      <c r="I46" s="710"/>
      <c r="J46" s="652"/>
      <c r="K46" s="69"/>
      <c r="L46" s="69"/>
      <c r="M46" s="69"/>
      <c r="N46" s="69"/>
      <c r="O46" s="69"/>
      <c r="Q46" s="78"/>
      <c r="R46" s="78"/>
      <c r="S46" s="78"/>
      <c r="T46" s="78"/>
      <c r="U46" s="69"/>
    </row>
    <row r="47" customFormat="false" ht="14.25" hidden="false" customHeight="false" outlineLevel="0" collapsed="false">
      <c r="A47" s="69"/>
      <c r="B47" s="650"/>
      <c r="C47" s="711"/>
      <c r="D47" s="712"/>
      <c r="E47" s="712"/>
      <c r="F47" s="712"/>
      <c r="G47" s="712"/>
      <c r="H47" s="713" t="s">
        <v>524</v>
      </c>
      <c r="I47" s="696" t="n">
        <f aca="false">SUM(I37:I46)</f>
        <v>0</v>
      </c>
      <c r="J47" s="652"/>
      <c r="K47" s="69"/>
      <c r="L47" s="69"/>
      <c r="M47" s="69"/>
      <c r="N47" s="69"/>
      <c r="O47" s="69"/>
      <c r="Q47" s="78"/>
      <c r="R47" s="78"/>
      <c r="S47" s="78"/>
      <c r="T47" s="78"/>
      <c r="U47" s="69"/>
    </row>
    <row r="48" customFormat="false" ht="35" hidden="false" customHeight="false" outlineLevel="0" collapsed="false">
      <c r="A48" s="69"/>
      <c r="B48" s="650"/>
      <c r="C48" s="714" t="s">
        <v>525</v>
      </c>
      <c r="D48" s="715" t="s">
        <v>510</v>
      </c>
      <c r="E48" s="715" t="s">
        <v>511</v>
      </c>
      <c r="F48" s="715" t="s">
        <v>526</v>
      </c>
      <c r="G48" s="715" t="s">
        <v>527</v>
      </c>
      <c r="H48" s="715" t="s">
        <v>528</v>
      </c>
      <c r="I48" s="716" t="s">
        <v>529</v>
      </c>
      <c r="J48" s="652"/>
      <c r="K48" s="69"/>
      <c r="L48" s="69"/>
      <c r="M48" s="69"/>
      <c r="N48" s="69"/>
      <c r="O48" s="69"/>
      <c r="S48" s="78"/>
      <c r="U48" s="69"/>
    </row>
    <row r="49" customFormat="false" ht="14.25" hidden="false" customHeight="false" outlineLevel="0" collapsed="false">
      <c r="A49" s="69"/>
      <c r="B49" s="650"/>
      <c r="C49" s="676"/>
      <c r="D49" s="678"/>
      <c r="E49" s="678"/>
      <c r="F49" s="681"/>
      <c r="G49" s="681"/>
      <c r="H49" s="717" t="n">
        <f aca="false">F49-G49</f>
        <v>0</v>
      </c>
      <c r="I49" s="708"/>
      <c r="J49" s="652"/>
      <c r="K49" s="69"/>
      <c r="L49" s="69"/>
      <c r="M49" s="69"/>
      <c r="N49" s="69"/>
      <c r="O49" s="69"/>
      <c r="S49" s="78"/>
      <c r="U49" s="69"/>
    </row>
    <row r="50" customFormat="false" ht="14.25" hidden="false" customHeight="false" outlineLevel="0" collapsed="false">
      <c r="A50" s="69"/>
      <c r="B50" s="650"/>
      <c r="C50" s="683"/>
      <c r="D50" s="685"/>
      <c r="E50" s="685"/>
      <c r="F50" s="687"/>
      <c r="G50" s="687"/>
      <c r="H50" s="718" t="n">
        <f aca="false">F50-G50</f>
        <v>0</v>
      </c>
      <c r="I50" s="710"/>
      <c r="J50" s="652"/>
      <c r="K50" s="69"/>
      <c r="L50" s="69"/>
      <c r="M50" s="69"/>
      <c r="N50" s="69"/>
      <c r="O50" s="69"/>
      <c r="U50" s="69"/>
    </row>
    <row r="51" customFormat="false" ht="14.25" hidden="false" customHeight="false" outlineLevel="0" collapsed="false">
      <c r="A51" s="69"/>
      <c r="B51" s="650"/>
      <c r="C51" s="719"/>
      <c r="D51" s="720"/>
      <c r="E51" s="720"/>
      <c r="F51" s="721"/>
      <c r="G51" s="687"/>
      <c r="H51" s="718" t="n">
        <f aca="false">F51-G51</f>
        <v>0</v>
      </c>
      <c r="I51" s="710"/>
      <c r="J51" s="652"/>
      <c r="K51" s="69"/>
      <c r="L51" s="69"/>
      <c r="M51" s="69"/>
      <c r="N51" s="69"/>
      <c r="O51" s="69"/>
      <c r="U51" s="69"/>
    </row>
    <row r="52" customFormat="false" ht="14.25" hidden="false" customHeight="false" outlineLevel="0" collapsed="false">
      <c r="A52" s="69"/>
      <c r="B52" s="650"/>
      <c r="C52" s="722"/>
      <c r="D52" s="650"/>
      <c r="E52" s="650"/>
      <c r="F52" s="650"/>
      <c r="G52" s="693" t="s">
        <v>530</v>
      </c>
      <c r="H52" s="694" t="n">
        <f aca="false">SUM(H49:H51)</f>
        <v>0</v>
      </c>
      <c r="I52" s="696" t="n">
        <f aca="false">SUM(I49:I51)</f>
        <v>0</v>
      </c>
      <c r="J52" s="652"/>
      <c r="K52" s="69"/>
      <c r="L52" s="69"/>
      <c r="M52" s="69"/>
      <c r="N52" s="69"/>
      <c r="O52" s="69"/>
      <c r="U52" s="69"/>
    </row>
    <row r="53" customFormat="false" ht="14.25" hidden="false" customHeight="false" outlineLevel="0" collapsed="false">
      <c r="A53" s="69"/>
      <c r="B53" s="650"/>
      <c r="C53" s="723"/>
      <c r="D53" s="650"/>
      <c r="E53" s="650"/>
      <c r="F53" s="724"/>
      <c r="G53" s="725" t="s">
        <v>531</v>
      </c>
      <c r="H53" s="650"/>
      <c r="I53" s="726" t="n">
        <f aca="false">I47+I52</f>
        <v>0</v>
      </c>
      <c r="J53" s="652"/>
      <c r="K53" s="69"/>
      <c r="L53" s="69"/>
      <c r="M53" s="69"/>
      <c r="N53" s="69"/>
      <c r="O53" s="69"/>
      <c r="U53" s="69"/>
    </row>
    <row r="54" customFormat="false" ht="14.25" hidden="false" customHeight="false" outlineLevel="0" collapsed="false">
      <c r="A54" s="69"/>
      <c r="B54" s="650"/>
      <c r="C54" s="698"/>
      <c r="D54" s="699"/>
      <c r="E54" s="699"/>
      <c r="F54" s="727"/>
      <c r="G54" s="700" t="s">
        <v>516</v>
      </c>
      <c r="H54" s="701" t="s">
        <v>532</v>
      </c>
      <c r="I54" s="702" t="s">
        <v>533</v>
      </c>
      <c r="J54" s="652"/>
      <c r="K54" s="69"/>
      <c r="L54" s="69"/>
      <c r="M54" s="69"/>
      <c r="N54" s="69"/>
      <c r="O54" s="69"/>
      <c r="U54" s="69"/>
    </row>
    <row r="55" customFormat="false" ht="14.25" hidden="false" customHeight="false" outlineLevel="0" collapsed="false">
      <c r="A55" s="69"/>
      <c r="B55" s="650"/>
      <c r="C55" s="728" t="s">
        <v>534</v>
      </c>
      <c r="D55" s="728"/>
      <c r="E55" s="728"/>
      <c r="F55" s="728"/>
      <c r="G55" s="728"/>
      <c r="H55" s="728"/>
      <c r="I55" s="728"/>
      <c r="J55" s="652"/>
      <c r="K55" s="69"/>
      <c r="L55" s="69"/>
      <c r="M55" s="69"/>
      <c r="N55" s="69"/>
      <c r="O55" s="69"/>
      <c r="U55" s="69"/>
    </row>
    <row r="56" customFormat="false" ht="14.25" hidden="false" customHeight="false" outlineLevel="0" collapsed="false">
      <c r="A56" s="69"/>
      <c r="B56" s="650"/>
      <c r="C56" s="301" t="s">
        <v>535</v>
      </c>
      <c r="D56" s="301"/>
      <c r="E56" s="301"/>
      <c r="F56" s="301"/>
      <c r="G56" s="301"/>
      <c r="H56" s="301"/>
      <c r="I56" s="301"/>
      <c r="J56" s="652"/>
      <c r="K56" s="69"/>
      <c r="L56" s="69"/>
      <c r="M56" s="69"/>
      <c r="N56" s="69"/>
      <c r="O56" s="69"/>
      <c r="U56" s="69"/>
    </row>
  </sheetData>
  <sheetProtection algorithmName="SHA-512" hashValue="6nuOZf9I/7R1sV1uZeKzXZQ61GdsiGMr4RQjRKLS6ETeT4l8MJtHE+2RjmVC+JKrFjkGPTHuGCbPwk1H2gHNsQ==" saltValue="LFV2t+F+2HRrWB/WWprPNQ==" spinCount="100000" sheet="true" objects="true" scenarios="true"/>
  <mergeCells count="31">
    <mergeCell ref="C3:I3"/>
    <mergeCell ref="C4:I4"/>
    <mergeCell ref="C6:I6"/>
    <mergeCell ref="C8:I8"/>
    <mergeCell ref="C10:I10"/>
    <mergeCell ref="C12:I12"/>
    <mergeCell ref="C14:I14"/>
    <mergeCell ref="C15:I15"/>
    <mergeCell ref="C16:I16"/>
    <mergeCell ref="C17:C19"/>
    <mergeCell ref="D17:D19"/>
    <mergeCell ref="E17:E19"/>
    <mergeCell ref="F17:F19"/>
    <mergeCell ref="G17:G19"/>
    <mergeCell ref="H17:H19"/>
    <mergeCell ref="I17:I19"/>
    <mergeCell ref="G32:G33"/>
    <mergeCell ref="C35:I35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55:I55"/>
    <mergeCell ref="C56:I56"/>
  </mergeCells>
  <conditionalFormatting sqref="G20:G31">
    <cfRule type="expression" priority="2" aboveAverage="0" equalAverage="0" bottom="0" percent="0" rank="0" text="" dxfId="25">
      <formula>$F20&gt;0</formula>
    </cfRule>
  </conditionalFormatting>
  <conditionalFormatting sqref="F20:F31">
    <cfRule type="expression" priority="3" aboveAverage="0" equalAverage="0" bottom="0" percent="0" rank="0" text="" dxfId="26">
      <formula>$G20&gt;0</formula>
    </cfRule>
  </conditionalFormatting>
  <dataValidations count="5">
    <dataValidation allowBlank="true" error="Enter a dollar amount greater than zero." errorStyle="stop" operator="greaterThanOrEqual" showDropDown="false" showErrorMessage="true" showInputMessage="true" sqref="H20:H30" type="decimal">
      <formula1>-9.99999999999999E+016</formula1>
      <formula2>0</formula2>
    </dataValidation>
    <dataValidation allowBlank="true" error="Enter a dollar amount greater than $500.00." errorStyle="stop" operator="greaterThanOrEqual" showDropDown="false" showErrorMessage="true" showInputMessage="true" sqref="G20:G30" type="decimal">
      <formula1>500</formula1>
      <formula2>0</formula2>
    </dataValidation>
    <dataValidation allowBlank="true" error="Enter a whole quantity greater than zero." errorStyle="stop" operator="greaterThan" showDropDown="false" showErrorMessage="true" showInputMessage="true" sqref="D20:D30 H37:H46 D49:D51" type="whole">
      <formula1>0</formula1>
      <formula2>0</formula2>
    </dataValidation>
    <dataValidation allowBlank="true" error="Enter full year greater than 1960." errorStyle="stop" operator="greaterThan" showDropDown="false" showErrorMessage="true" showInputMessage="true" sqref="E20:E30 E49:E51" type="whole">
      <formula1>1960</formula1>
      <formula2>0</formula2>
    </dataValidation>
    <dataValidation allowBlank="true" error="Enter a dollar amount greater than zero." errorStyle="stop" operator="greaterThanOrEqual" showDropDown="false" showErrorMessage="true" showInputMessage="true" sqref="F20:F31 G31:H31 I37:I46 F49:G51 I49:I51" type="decimal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5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39" activeCellId="0" sqref="M39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1" min="1" style="1" width="5.62"/>
    <col collapsed="false" customWidth="true" hidden="false" outlineLevel="0" max="4" min="2" style="1" width="3.62"/>
    <col collapsed="false" customWidth="true" hidden="false" outlineLevel="0" max="5" min="5" style="1" width="25.62"/>
    <col collapsed="false" customWidth="true" hidden="false" outlineLevel="0" max="6" min="6" style="1" width="7.62"/>
    <col collapsed="false" customWidth="true" hidden="false" outlineLevel="0" max="7" min="7" style="1" width="9.62"/>
    <col collapsed="false" customWidth="true" hidden="false" outlineLevel="0" max="8" min="8" style="1" width="9.75"/>
    <col collapsed="false" customWidth="false" hidden="false" outlineLevel="0" max="13" min="9" style="1" width="9.13"/>
    <col collapsed="false" customWidth="true" hidden="false" outlineLevel="0" max="15" min="14" style="1" width="3.62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649"/>
      <c r="B1" s="64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69"/>
    </row>
    <row r="2" customFormat="false" ht="14.25" hidden="false" customHeight="false" outlineLevel="0" collapsed="false">
      <c r="A2" s="729"/>
      <c r="B2" s="729"/>
      <c r="C2" s="730"/>
      <c r="D2" s="81" t="str">
        <f aca="false">Contents!B59</f>
        <v>Version: AS L 6 LARGE locked LOCAL</v>
      </c>
      <c r="E2" s="730"/>
      <c r="F2" s="730"/>
      <c r="G2" s="730"/>
      <c r="H2" s="730"/>
      <c r="I2" s="730"/>
      <c r="J2" s="730"/>
      <c r="K2" s="730"/>
      <c r="L2" s="730"/>
      <c r="M2" s="730"/>
      <c r="N2" s="730"/>
      <c r="O2" s="729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729"/>
    </row>
    <row r="3" customFormat="false" ht="14.25" hidden="false" customHeight="false" outlineLevel="0" collapsed="false">
      <c r="A3" s="653"/>
      <c r="B3" s="653"/>
      <c r="C3" s="654"/>
      <c r="D3" s="655" t="str">
        <f aca="false">Contents!$E$3</f>
        <v>THE SOCIETY FOR CREATIVE ANACHRONISM, INC.</v>
      </c>
      <c r="E3" s="655"/>
      <c r="F3" s="655"/>
      <c r="G3" s="655"/>
      <c r="H3" s="655"/>
      <c r="I3" s="655"/>
      <c r="J3" s="655"/>
      <c r="K3" s="655"/>
      <c r="L3" s="655"/>
      <c r="M3" s="655"/>
      <c r="N3" s="654"/>
      <c r="O3" s="653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653"/>
    </row>
    <row r="4" customFormat="false" ht="14.25" hidden="false" customHeight="false" outlineLevel="0" collapsed="false">
      <c r="A4" s="69"/>
      <c r="B4" s="69"/>
      <c r="C4" s="654"/>
      <c r="D4" s="655" t="str">
        <f aca="false">Contents!$E$4</f>
        <v>FINANCIAL REPORT</v>
      </c>
      <c r="E4" s="655"/>
      <c r="F4" s="655"/>
      <c r="G4" s="655"/>
      <c r="H4" s="655"/>
      <c r="I4" s="655"/>
      <c r="J4" s="655"/>
      <c r="K4" s="655"/>
      <c r="L4" s="655"/>
      <c r="M4" s="655"/>
      <c r="N4" s="654"/>
      <c r="O4" s="69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69"/>
    </row>
    <row r="5" customFormat="false" ht="14.25" hidden="false" customHeight="false" outlineLevel="0" collapsed="false">
      <c r="A5" s="69"/>
      <c r="B5" s="69"/>
      <c r="C5" s="650"/>
      <c r="D5" s="657"/>
      <c r="E5" s="650"/>
      <c r="F5" s="650"/>
      <c r="G5" s="650"/>
      <c r="H5" s="650"/>
      <c r="I5" s="650"/>
      <c r="J5" s="650"/>
      <c r="K5" s="650"/>
      <c r="L5" s="657"/>
      <c r="M5" s="657"/>
      <c r="N5" s="650"/>
      <c r="O5" s="69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69"/>
    </row>
    <row r="6" customFormat="false" ht="14.25" hidden="false" customHeight="false" outlineLevel="0" collapsed="false">
      <c r="A6" s="729"/>
      <c r="B6" s="729"/>
      <c r="C6" s="650"/>
      <c r="D6" s="658" t="str">
        <f aca="false">Contents!B58</f>
        <v>Branch:   SCA, Inc.- Middle Kingdom                                               Period:  1/01/2025             to     12/31/2025            .</v>
      </c>
      <c r="E6" s="658"/>
      <c r="F6" s="658"/>
      <c r="G6" s="658"/>
      <c r="H6" s="658"/>
      <c r="I6" s="658"/>
      <c r="J6" s="658"/>
      <c r="K6" s="658"/>
      <c r="L6" s="658"/>
      <c r="M6" s="658"/>
      <c r="N6" s="650"/>
      <c r="O6" s="729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729"/>
    </row>
    <row r="7" customFormat="false" ht="14.25" hidden="false" customHeight="false" outlineLevel="0" collapsed="false">
      <c r="A7" s="69"/>
      <c r="B7" s="69"/>
      <c r="C7" s="730"/>
      <c r="D7" s="731"/>
      <c r="E7" s="730"/>
      <c r="F7" s="730"/>
      <c r="G7" s="730"/>
      <c r="H7" s="730"/>
      <c r="I7" s="730"/>
      <c r="J7" s="730"/>
      <c r="K7" s="730"/>
      <c r="L7" s="731"/>
      <c r="M7" s="731"/>
      <c r="N7" s="730"/>
      <c r="O7" s="69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69"/>
    </row>
    <row r="8" customFormat="false" ht="17.35" hidden="false" customHeight="false" outlineLevel="0" collapsed="false">
      <c r="A8" s="729"/>
      <c r="B8" s="729"/>
      <c r="C8" s="650"/>
      <c r="D8" s="659" t="s">
        <v>536</v>
      </c>
      <c r="E8" s="659"/>
      <c r="F8" s="659"/>
      <c r="G8" s="659"/>
      <c r="H8" s="659"/>
      <c r="I8" s="659"/>
      <c r="J8" s="659"/>
      <c r="K8" s="659"/>
      <c r="L8" s="659"/>
      <c r="M8" s="659"/>
      <c r="N8" s="650"/>
      <c r="O8" s="729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729"/>
    </row>
    <row r="9" customFormat="false" ht="14.25" hidden="false" customHeight="false" outlineLevel="0" collapsed="false">
      <c r="A9" s="69"/>
      <c r="B9" s="69"/>
      <c r="C9" s="730"/>
      <c r="D9" s="732" t="s">
        <v>537</v>
      </c>
      <c r="E9" s="732"/>
      <c r="F9" s="732"/>
      <c r="G9" s="732"/>
      <c r="H9" s="732"/>
      <c r="I9" s="732"/>
      <c r="J9" s="732"/>
      <c r="K9" s="732"/>
      <c r="L9" s="732"/>
      <c r="M9" s="732"/>
      <c r="N9" s="730"/>
      <c r="O9" s="69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69"/>
    </row>
    <row r="10" customFormat="false" ht="14.25" hidden="false" customHeight="false" outlineLevel="0" collapsed="false">
      <c r="A10" s="69"/>
      <c r="B10" s="69"/>
      <c r="C10" s="730"/>
      <c r="D10" s="733"/>
      <c r="E10" s="731"/>
      <c r="F10" s="731"/>
      <c r="G10" s="731"/>
      <c r="H10" s="731"/>
      <c r="I10" s="731"/>
      <c r="J10" s="731"/>
      <c r="K10" s="731"/>
      <c r="L10" s="733"/>
      <c r="M10" s="731"/>
      <c r="N10" s="730"/>
      <c r="O10" s="69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69"/>
    </row>
    <row r="11" customFormat="false" ht="15" hidden="false" customHeight="false" outlineLevel="0" collapsed="false">
      <c r="A11" s="69"/>
      <c r="B11" s="69"/>
      <c r="C11" s="650"/>
      <c r="D11" s="734" t="s">
        <v>538</v>
      </c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9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69"/>
    </row>
    <row r="12" customFormat="false" ht="14.25" hidden="false" customHeight="false" outlineLevel="0" collapsed="false">
      <c r="A12" s="69"/>
      <c r="B12" s="69"/>
      <c r="C12" s="650"/>
      <c r="D12" s="735" t="s">
        <v>539</v>
      </c>
      <c r="E12" s="735"/>
      <c r="F12" s="735"/>
      <c r="G12" s="735"/>
      <c r="H12" s="735"/>
      <c r="I12" s="735"/>
      <c r="J12" s="735"/>
      <c r="K12" s="735"/>
      <c r="L12" s="735"/>
      <c r="M12" s="735"/>
      <c r="N12" s="650"/>
      <c r="O12" s="69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69"/>
    </row>
    <row r="13" customFormat="false" ht="46.15" hidden="false" customHeight="false" outlineLevel="0" collapsed="false">
      <c r="A13" s="736" t="s">
        <v>540</v>
      </c>
      <c r="B13" s="69"/>
      <c r="C13" s="650"/>
      <c r="D13" s="737" t="s">
        <v>541</v>
      </c>
      <c r="E13" s="738" t="s">
        <v>542</v>
      </c>
      <c r="F13" s="739" t="s">
        <v>543</v>
      </c>
      <c r="G13" s="739" t="s">
        <v>544</v>
      </c>
      <c r="H13" s="740" t="s">
        <v>545</v>
      </c>
      <c r="I13" s="740" t="s">
        <v>546</v>
      </c>
      <c r="J13" s="740" t="s">
        <v>547</v>
      </c>
      <c r="K13" s="740" t="s">
        <v>548</v>
      </c>
      <c r="L13" s="740" t="s">
        <v>549</v>
      </c>
      <c r="M13" s="741" t="s">
        <v>550</v>
      </c>
      <c r="N13" s="650"/>
      <c r="O13" s="69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69"/>
    </row>
    <row r="14" customFormat="false" ht="14.25" hidden="false" customHeight="false" outlineLevel="0" collapsed="false">
      <c r="A14" s="742"/>
      <c r="B14" s="69"/>
      <c r="C14" s="650"/>
      <c r="D14" s="743" t="s">
        <v>551</v>
      </c>
      <c r="E14" s="744" t="s">
        <v>552</v>
      </c>
      <c r="F14" s="745" t="n">
        <v>1</v>
      </c>
      <c r="G14" s="745" t="n">
        <v>2017</v>
      </c>
      <c r="H14" s="746" t="n">
        <f aca="true">IF(G14=0,"",
IF(AND(Contents!$C$11&gt;0,Contents!$C$11-$G14&lt;6,Contents!$C$11-$G14&gt;=0),
OFFSET(Contents!$B$75,0,(Contents!$C$11-$G14)),0))</f>
        <v>0</v>
      </c>
      <c r="I14" s="747" t="n">
        <f aca="false">IF(AND(Contents!$C$13="Sequential", G14&gt;0, G14=Contents!$C$11, Contents!$C$12&gt;1, Contents!$C$12&gt;A14), J14,
IF(AND(G14&gt;0,G14&lt;Contents!$C$11), J14,0))</f>
        <v>5900</v>
      </c>
      <c r="J14" s="748" t="n">
        <v>5900</v>
      </c>
      <c r="K14" s="747" t="n">
        <f aca="true">(IF(AND(Contents!$C$11&gt;0,Contents!$C$11-$G14&lt;6,Contents!$C$11-$G14&gt;=0),
ROUND(OFFSET(Contents!$B$73,0,(Contents!$C$11-$G14)-1)*J14,2),
IF(AND(Contents!$C$11&gt;0,J14&gt;0),J14,0)))</f>
        <v>5900</v>
      </c>
      <c r="L14" s="747" t="n">
        <f aca="false">IF(H14="",0,ROUND(H14*J14*IF(Contents!$C$12=4,1,0),2))</f>
        <v>0</v>
      </c>
      <c r="M14" s="749" t="n">
        <f aca="false">IF(H14="",0,K14+L14)</f>
        <v>5900</v>
      </c>
      <c r="N14" s="650"/>
      <c r="O14" s="69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69"/>
    </row>
    <row r="15" customFormat="false" ht="14.25" hidden="false" customHeight="false" outlineLevel="0" collapsed="false">
      <c r="A15" s="742"/>
      <c r="B15" s="69"/>
      <c r="C15" s="650"/>
      <c r="D15" s="750" t="s">
        <v>551</v>
      </c>
      <c r="E15" s="751" t="s">
        <v>553</v>
      </c>
      <c r="F15" s="685" t="n">
        <v>1</v>
      </c>
      <c r="G15" s="685" t="n">
        <v>2017</v>
      </c>
      <c r="H15" s="752" t="n">
        <f aca="true">IF(G15=0,"",
IF(AND(Contents!$C$11&gt;0,Contents!$C$11-$G15&lt;6,Contents!$C$11-$G15&gt;=0),
OFFSET(Contents!$B$75,0,(Contents!$C$11-$G15)),0))</f>
        <v>0</v>
      </c>
      <c r="I15" s="753" t="n">
        <f aca="false">IF(AND(Contents!$C$13="Sequential", G15&gt;0, G15=Contents!$C$11, Contents!$C$12&gt;1, Contents!$C$12&gt;A15), J15,
IF(AND(G15&gt;0,G15&lt;Contents!$C$11), J15,0))</f>
        <v>6300</v>
      </c>
      <c r="J15" s="754" t="n">
        <v>6300</v>
      </c>
      <c r="K15" s="753" t="n">
        <f aca="true">(IF(AND(Contents!$C$11&gt;0,Contents!$C$11-$G15&lt;6,Contents!$C$11-$G15&gt;=0),
ROUND(OFFSET(Contents!$B$73,0,(Contents!$C$11-$G15)-1)*J15,2),
IF(AND(Contents!$C$11&gt;0,J15&gt;0),J15,0)))</f>
        <v>6300</v>
      </c>
      <c r="L15" s="753" t="n">
        <f aca="false">IF(H15="",0,ROUND(H15*J15*IF(Contents!$C$12=4,1,0),2))</f>
        <v>0</v>
      </c>
      <c r="M15" s="755" t="n">
        <f aca="false">IF(H15="",0,K15+L15)</f>
        <v>6300</v>
      </c>
      <c r="N15" s="650"/>
      <c r="O15" s="69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69"/>
    </row>
    <row r="16" customFormat="false" ht="14.25" hidden="false" customHeight="false" outlineLevel="0" collapsed="false">
      <c r="A16" s="742"/>
      <c r="B16" s="69"/>
      <c r="C16" s="650"/>
      <c r="D16" s="750"/>
      <c r="E16" s="751"/>
      <c r="F16" s="685"/>
      <c r="G16" s="685"/>
      <c r="H16" s="752" t="str">
        <f aca="true">IF(G16=0,"",
IF(AND(Contents!$C$11&gt;0,Contents!$C$11-$G16&lt;6,Contents!$C$11-$G16&gt;=0),
OFFSET(Contents!$B$75,0,(Contents!$C$11-$G16)),0))</f>
        <v/>
      </c>
      <c r="I16" s="753" t="n">
        <f aca="false">IF(AND(Contents!$C$13="Sequential", G16&gt;0, G16=Contents!$C$11, Contents!$C$12&gt;1, Contents!$C$12&gt;A16), J16,
IF(AND(G16&gt;0,G16&lt;Contents!$C$11), J16,0))</f>
        <v>0</v>
      </c>
      <c r="J16" s="754"/>
      <c r="K16" s="753" t="n">
        <f aca="true">(IF(AND(Contents!$C$11&gt;0,Contents!$C$11-$G16&lt;6,Contents!$C$11-$G16&gt;=0),
ROUND(OFFSET(Contents!$B$73,0,(Contents!$C$11-$G16)-1)*J16,2),
IF(AND(Contents!$C$11&gt;0,J16&gt;0),J16,0)))</f>
        <v>0</v>
      </c>
      <c r="L16" s="753" t="n">
        <f aca="false">IF(H16="",0,ROUND(H16*J16*IF(Contents!$C$12=4,1,0),2))</f>
        <v>0</v>
      </c>
      <c r="M16" s="755" t="n">
        <f aca="false">IF(H16="",0,K16+L16)</f>
        <v>0</v>
      </c>
      <c r="N16" s="650"/>
      <c r="O16" s="69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69"/>
    </row>
    <row r="17" customFormat="false" ht="14.25" hidden="false" customHeight="false" outlineLevel="0" collapsed="false">
      <c r="A17" s="742"/>
      <c r="B17" s="69"/>
      <c r="C17" s="650"/>
      <c r="D17" s="750"/>
      <c r="E17" s="751"/>
      <c r="F17" s="685"/>
      <c r="G17" s="685"/>
      <c r="H17" s="752" t="str">
        <f aca="true">IF(G17=0,"",
IF(AND(Contents!$C$11&gt;0,Contents!$C$11-$G17&lt;6,Contents!$C$11-$G17&gt;=0),
OFFSET(Contents!$B$75,0,(Contents!$C$11-$G17)),0))</f>
        <v/>
      </c>
      <c r="I17" s="753" t="n">
        <f aca="false">IF(AND(Contents!$C$13="Sequential", G17&gt;0, G17=Contents!$C$11, Contents!$C$12&gt;1, Contents!$C$12&gt;A17), J17,
IF(AND(G17&gt;0,G17&lt;Contents!$C$11), J17,0))</f>
        <v>0</v>
      </c>
      <c r="J17" s="754"/>
      <c r="K17" s="753" t="n">
        <f aca="true">(IF(AND(Contents!$C$11&gt;0,Contents!$C$11-$G17&lt;6,Contents!$C$11-$G17&gt;=0),
ROUND(OFFSET(Contents!$B$73,0,(Contents!$C$11-$G17)-1)*J17,2),
IF(AND(Contents!$C$11&gt;0,J17&gt;0),J17,0)))</f>
        <v>0</v>
      </c>
      <c r="L17" s="753" t="n">
        <f aca="false">IF(H17="",0,ROUND(H17*J17*IF(Contents!$C$12=4,1,0),2))</f>
        <v>0</v>
      </c>
      <c r="M17" s="755" t="n">
        <f aca="false">IF(H17="",0,K17+L17)</f>
        <v>0</v>
      </c>
      <c r="N17" s="650"/>
      <c r="O17" s="69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69"/>
    </row>
    <row r="18" customFormat="false" ht="14.25" hidden="false" customHeight="false" outlineLevel="0" collapsed="false">
      <c r="A18" s="742"/>
      <c r="B18" s="69"/>
      <c r="C18" s="650"/>
      <c r="D18" s="750"/>
      <c r="E18" s="751"/>
      <c r="F18" s="685"/>
      <c r="G18" s="685"/>
      <c r="H18" s="752" t="str">
        <f aca="true">IF(G18=0,"",
IF(AND(Contents!$C$11&gt;0,Contents!$C$11-$G18&lt;6,Contents!$C$11-$G18&gt;=0),
OFFSET(Contents!$B$75,0,(Contents!$C$11-$G18)),0))</f>
        <v/>
      </c>
      <c r="I18" s="753" t="n">
        <f aca="false">IF(AND(Contents!$C$13="Sequential", G18&gt;0, G18=Contents!$C$11, Contents!$C$12&gt;1, Contents!$C$12&gt;A18), J18,
IF(AND(G18&gt;0,G18&lt;Contents!$C$11), J18,0))</f>
        <v>0</v>
      </c>
      <c r="J18" s="754"/>
      <c r="K18" s="753" t="n">
        <f aca="true">(IF(AND(Contents!$C$11&gt;0,Contents!$C$11-$G18&lt;6,Contents!$C$11-$G18&gt;=0),
ROUND(OFFSET(Contents!$B$73,0,(Contents!$C$11-$G18)-1)*J18,2),
IF(AND(Contents!$C$11&gt;0,J18&gt;0),J18,0)))</f>
        <v>0</v>
      </c>
      <c r="L18" s="753" t="n">
        <f aca="false">IF(H18="",0,ROUND(H18*J18*IF(Contents!$C$12=4,1,0),2))</f>
        <v>0</v>
      </c>
      <c r="M18" s="755" t="n">
        <f aca="false">IF(H18="",0,K18+L18)</f>
        <v>0</v>
      </c>
      <c r="N18" s="650"/>
      <c r="O18" s="69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69"/>
    </row>
    <row r="19" customFormat="false" ht="14.25" hidden="false" customHeight="false" outlineLevel="0" collapsed="false">
      <c r="A19" s="742"/>
      <c r="B19" s="69"/>
      <c r="C19" s="650"/>
      <c r="D19" s="750"/>
      <c r="E19" s="751"/>
      <c r="F19" s="685"/>
      <c r="G19" s="685"/>
      <c r="H19" s="752" t="str">
        <f aca="true">IF(G19=0,"",
IF(AND(Contents!$C$11&gt;0,Contents!$C$11-$G19&lt;6,Contents!$C$11-$G19&gt;=0),
OFFSET(Contents!$B$75,0,(Contents!$C$11-$G19)),0))</f>
        <v/>
      </c>
      <c r="I19" s="753" t="n">
        <f aca="false">IF(AND(Contents!$C$13="Sequential", G19&gt;0, G19=Contents!$C$11, Contents!$C$12&gt;1, Contents!$C$12&gt;A19), J19,
IF(AND(G19&gt;0,G19&lt;Contents!$C$11), J19,0))</f>
        <v>0</v>
      </c>
      <c r="J19" s="754"/>
      <c r="K19" s="753" t="n">
        <f aca="true">(IF(AND(Contents!$C$11&gt;0,Contents!$C$11-$G19&lt;6,Contents!$C$11-$G19&gt;=0),
ROUND(OFFSET(Contents!$B$73,0,(Contents!$C$11-$G19)-1)*J19,2),
IF(AND(Contents!$C$11&gt;0,J19&gt;0),J19,0)))</f>
        <v>0</v>
      </c>
      <c r="L19" s="753" t="n">
        <f aca="false">IF(H19="",0,ROUND(H19*J19*IF(Contents!$C$12=4,1,0),2))</f>
        <v>0</v>
      </c>
      <c r="M19" s="755" t="n">
        <f aca="false">IF(H19="",0,K19+L19)</f>
        <v>0</v>
      </c>
      <c r="N19" s="650"/>
      <c r="O19" s="69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69"/>
    </row>
    <row r="20" customFormat="false" ht="14.25" hidden="false" customHeight="false" outlineLevel="0" collapsed="false">
      <c r="A20" s="742"/>
      <c r="B20" s="69"/>
      <c r="C20" s="650"/>
      <c r="D20" s="750"/>
      <c r="E20" s="751"/>
      <c r="F20" s="685"/>
      <c r="G20" s="685"/>
      <c r="H20" s="752" t="str">
        <f aca="true">IF(G20=0,"",
IF(AND(Contents!$C$11&gt;0,Contents!$C$11-$G20&lt;6,Contents!$C$11-$G20&gt;=0),
OFFSET(Contents!$B$75,0,(Contents!$C$11-$G20)),0))</f>
        <v/>
      </c>
      <c r="I20" s="753" t="n">
        <f aca="false">IF(AND(Contents!$C$13="Sequential", G20&gt;0, G20=Contents!$C$11, Contents!$C$12&gt;1, Contents!$C$12&gt;A20), J20,
IF(AND(G20&gt;0,G20&lt;Contents!$C$11), J20,0))</f>
        <v>0</v>
      </c>
      <c r="J20" s="754"/>
      <c r="K20" s="753" t="n">
        <f aca="true">(IF(AND(Contents!$C$11&gt;0,Contents!$C$11-$G20&lt;6,Contents!$C$11-$G20&gt;=0),
ROUND(OFFSET(Contents!$B$73,0,(Contents!$C$11-$G20)-1)*J20,2),
IF(AND(Contents!$C$11&gt;0,J20&gt;0),J20,0)))</f>
        <v>0</v>
      </c>
      <c r="L20" s="753" t="n">
        <f aca="false">IF(H20="",0,ROUND(H20*J20*IF(Contents!$C$12=4,1,0),2))</f>
        <v>0</v>
      </c>
      <c r="M20" s="755" t="n">
        <f aca="false">IF(H20="",0,K20+L20)</f>
        <v>0</v>
      </c>
      <c r="N20" s="650"/>
      <c r="O20" s="69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69"/>
    </row>
    <row r="21" customFormat="false" ht="14.25" hidden="false" customHeight="false" outlineLevel="0" collapsed="false">
      <c r="A21" s="742"/>
      <c r="B21" s="69"/>
      <c r="C21" s="650"/>
      <c r="D21" s="750"/>
      <c r="E21" s="751"/>
      <c r="F21" s="685"/>
      <c r="G21" s="685"/>
      <c r="H21" s="752" t="str">
        <f aca="true">IF(G21=0,"",
IF(AND(Contents!$C$11&gt;0,Contents!$C$11-$G21&lt;6,Contents!$C$11-$G21&gt;=0),
OFFSET(Contents!$B$75,0,(Contents!$C$11-$G21)),0))</f>
        <v/>
      </c>
      <c r="I21" s="753" t="n">
        <f aca="false">IF(AND(Contents!$C$13="Sequential", G21&gt;0, G21=Contents!$C$11, Contents!$C$12&gt;1, Contents!$C$12&gt;A21), J21,
IF(AND(G21&gt;0,G21&lt;Contents!$C$11), J21,0))</f>
        <v>0</v>
      </c>
      <c r="J21" s="754"/>
      <c r="K21" s="753" t="n">
        <f aca="true">(IF(AND(Contents!$C$11&gt;0,Contents!$C$11-$G21&lt;6,Contents!$C$11-$G21&gt;=0),
ROUND(OFFSET(Contents!$B$73,0,(Contents!$C$11-$G21)-1)*J21,2),
IF(AND(Contents!$C$11&gt;0,J21&gt;0),J21,0)))</f>
        <v>0</v>
      </c>
      <c r="L21" s="753" t="n">
        <f aca="false">IF(H21="",0,ROUND(H21*J21*IF(Contents!$C$12=4,1,0),2))</f>
        <v>0</v>
      </c>
      <c r="M21" s="755" t="n">
        <f aca="false">IF(H21="",0,K21+L21)</f>
        <v>0</v>
      </c>
      <c r="N21" s="650"/>
      <c r="O21" s="69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69"/>
    </row>
    <row r="22" customFormat="false" ht="14.25" hidden="false" customHeight="false" outlineLevel="0" collapsed="false">
      <c r="A22" s="742"/>
      <c r="B22" s="69"/>
      <c r="C22" s="650"/>
      <c r="D22" s="750"/>
      <c r="E22" s="751"/>
      <c r="F22" s="685"/>
      <c r="G22" s="685"/>
      <c r="H22" s="752" t="str">
        <f aca="true">IF(G22=0,"",
IF(AND(Contents!$C$11&gt;0,Contents!$C$11-$G22&lt;6,Contents!$C$11-$G22&gt;=0),
OFFSET(Contents!$B$75,0,(Contents!$C$11-$G22)),0))</f>
        <v/>
      </c>
      <c r="I22" s="753" t="n">
        <f aca="false">IF(AND(Contents!$C$13="Sequential", G22&gt;0, G22=Contents!$C$11, Contents!$C$12&gt;1, Contents!$C$12&gt;A22), J22,
IF(AND(G22&gt;0,G22&lt;Contents!$C$11), J22,0))</f>
        <v>0</v>
      </c>
      <c r="J22" s="754"/>
      <c r="K22" s="753" t="n">
        <f aca="true">(IF(AND(Contents!$C$11&gt;0,Contents!$C$11-$G22&lt;6,Contents!$C$11-$G22&gt;=0),
ROUND(OFFSET(Contents!$B$73,0,(Contents!$C$11-$G22)-1)*J22,2),
IF(AND(Contents!$C$11&gt;0,J22&gt;0),J22,0)))</f>
        <v>0</v>
      </c>
      <c r="L22" s="753" t="n">
        <f aca="false">IF(H22="",0,ROUND(H22*J22*IF(Contents!$C$12=4,1,0),2))</f>
        <v>0</v>
      </c>
      <c r="M22" s="755" t="n">
        <f aca="false">IF(H22="",0,K22+L22)</f>
        <v>0</v>
      </c>
      <c r="N22" s="650"/>
      <c r="O22" s="69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69"/>
    </row>
    <row r="23" customFormat="false" ht="14.25" hidden="false" customHeight="false" outlineLevel="0" collapsed="false">
      <c r="A23" s="756"/>
      <c r="B23" s="69"/>
      <c r="C23" s="650"/>
      <c r="D23" s="750"/>
      <c r="E23" s="751"/>
      <c r="F23" s="685"/>
      <c r="G23" s="685"/>
      <c r="H23" s="752" t="str">
        <f aca="true">IF(G23=0,"",
IF(AND(Contents!$C$11&gt;0,Contents!$C$11-$G23&lt;6,Contents!$C$11-$G23&gt;=0),
OFFSET(Contents!$B$75,0,(Contents!$C$11-$G23)),0))</f>
        <v/>
      </c>
      <c r="I23" s="753" t="n">
        <f aca="false">IF(AND(Contents!$C$13="Sequential", G23&gt;0, G23=Contents!$C$11, Contents!$C$12&gt;1, Contents!$C$12&gt;A23), J23,
IF(AND(G23&gt;0,G23&lt;Contents!$C$11), J23,0))</f>
        <v>0</v>
      </c>
      <c r="J23" s="754"/>
      <c r="K23" s="753" t="n">
        <f aca="true">(IF(AND(Contents!$C$11&gt;0,Contents!$C$11-$G23&lt;6,Contents!$C$11-$G23&gt;=0),
ROUND(OFFSET(Contents!$B$73,0,(Contents!$C$11-$G23)-1)*J23,2),
IF(AND(Contents!$C$11&gt;0,J23&gt;0),J23,0)))</f>
        <v>0</v>
      </c>
      <c r="L23" s="753" t="n">
        <f aca="false">IF(H23="",0,ROUND(H23*J23*IF(Contents!$C$12=4,1,0),2))</f>
        <v>0</v>
      </c>
      <c r="M23" s="755" t="n">
        <f aca="false">IF(H23="",0,K23+L23)</f>
        <v>0</v>
      </c>
      <c r="N23" s="650"/>
      <c r="O23" s="69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69"/>
    </row>
    <row r="24" customFormat="false" ht="14.25" hidden="false" customHeight="false" outlineLevel="0" collapsed="false">
      <c r="A24" s="69"/>
      <c r="B24" s="69"/>
      <c r="C24" s="650"/>
      <c r="D24" s="691"/>
      <c r="E24" s="692"/>
      <c r="F24" s="692"/>
      <c r="G24" s="757" t="s">
        <v>554</v>
      </c>
      <c r="H24" s="757"/>
      <c r="I24" s="758" t="n">
        <f aca="false">SUM(I14:I23)</f>
        <v>12200</v>
      </c>
      <c r="J24" s="758" t="n">
        <f aca="false">SUM(J14:J23)</f>
        <v>12200</v>
      </c>
      <c r="K24" s="758" t="n">
        <f aca="false">SUM(K14:K23)</f>
        <v>12200</v>
      </c>
      <c r="L24" s="758" t="n">
        <f aca="false">SUM(L14:L23)</f>
        <v>0</v>
      </c>
      <c r="M24" s="759" t="n">
        <f aca="false">SUM(M14:M23)</f>
        <v>12200</v>
      </c>
      <c r="N24" s="650"/>
      <c r="O24" s="69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69"/>
    </row>
    <row r="25" customFormat="false" ht="14.25" hidden="false" customHeight="true" outlineLevel="0" collapsed="false">
      <c r="A25" s="69"/>
      <c r="B25" s="69"/>
      <c r="C25" s="650"/>
      <c r="D25" s="760" t="s">
        <v>555</v>
      </c>
      <c r="E25" s="760"/>
      <c r="F25" s="760"/>
      <c r="G25" s="761" t="s">
        <v>556</v>
      </c>
      <c r="H25" s="761"/>
      <c r="I25" s="761"/>
      <c r="J25" s="761"/>
      <c r="K25" s="761"/>
      <c r="L25" s="761"/>
      <c r="M25" s="761"/>
      <c r="N25" s="650"/>
      <c r="O25" s="762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762"/>
    </row>
    <row r="26" customFormat="false" ht="15" hidden="false" customHeight="false" outlineLevel="0" collapsed="false">
      <c r="A26" s="762"/>
      <c r="B26" s="762"/>
      <c r="C26" s="650"/>
      <c r="D26" s="763" t="s">
        <v>557</v>
      </c>
      <c r="E26" s="650"/>
      <c r="F26" s="764"/>
      <c r="G26" s="764"/>
      <c r="H26" s="765" t="n">
        <f aca="true">IF(Contents!$C$11="",YEAR(NOW()),Contents!$C$11)</f>
        <v>2025</v>
      </c>
      <c r="I26" s="766" t="n">
        <f aca="false">H26-1</f>
        <v>2024</v>
      </c>
      <c r="J26" s="766" t="n">
        <f aca="false">I26-1</f>
        <v>2023</v>
      </c>
      <c r="K26" s="766" t="n">
        <f aca="false">J26-1</f>
        <v>2022</v>
      </c>
      <c r="L26" s="766" t="n">
        <f aca="false">K26-1</f>
        <v>2021</v>
      </c>
      <c r="M26" s="767" t="n">
        <f aca="false">L26-1</f>
        <v>2020</v>
      </c>
      <c r="N26" s="650"/>
      <c r="O26" s="768"/>
      <c r="P26" s="79" t="s">
        <v>174</v>
      </c>
      <c r="Q26" s="78"/>
      <c r="R26" s="78"/>
      <c r="S26" s="79" t="s">
        <v>83</v>
      </c>
      <c r="T26" s="79" t="s">
        <v>174</v>
      </c>
      <c r="U26" s="768"/>
    </row>
    <row r="27" customFormat="false" ht="15" hidden="false" customHeight="false" outlineLevel="0" collapsed="false">
      <c r="A27" s="768"/>
      <c r="B27" s="768"/>
      <c r="C27" s="650"/>
      <c r="D27" s="769" t="s">
        <v>558</v>
      </c>
      <c r="E27" s="770"/>
      <c r="F27" s="770"/>
      <c r="G27" s="770"/>
      <c r="H27" s="771" t="n">
        <v>0.2</v>
      </c>
      <c r="I27" s="772" t="n">
        <v>0.32</v>
      </c>
      <c r="J27" s="772" t="n">
        <v>0.192</v>
      </c>
      <c r="K27" s="772" t="n">
        <v>0.1152</v>
      </c>
      <c r="L27" s="772" t="n">
        <v>0.1152</v>
      </c>
      <c r="M27" s="773" t="n">
        <v>0.0576</v>
      </c>
      <c r="N27" s="650"/>
      <c r="O27" s="69"/>
      <c r="P27" s="79" t="s">
        <v>177</v>
      </c>
      <c r="Q27" s="78"/>
      <c r="R27" s="78"/>
      <c r="S27" s="79" t="s">
        <v>85</v>
      </c>
      <c r="T27" s="79" t="s">
        <v>76</v>
      </c>
      <c r="U27" s="69"/>
    </row>
    <row r="28" customFormat="false" ht="14.25" hidden="false" customHeight="false" outlineLevel="0" collapsed="false">
      <c r="A28" s="69"/>
      <c r="B28" s="69"/>
      <c r="C28" s="651"/>
      <c r="D28" s="651"/>
      <c r="E28" s="651"/>
      <c r="F28" s="774"/>
      <c r="G28" s="774"/>
      <c r="H28" s="774"/>
      <c r="I28" s="774"/>
      <c r="J28" s="774"/>
      <c r="K28" s="774"/>
      <c r="L28" s="774"/>
      <c r="M28" s="775"/>
      <c r="N28" s="651"/>
      <c r="O28" s="69"/>
      <c r="P28" s="79" t="s">
        <v>178</v>
      </c>
      <c r="Q28" s="78"/>
      <c r="R28" s="78"/>
      <c r="S28" s="79" t="s">
        <v>86</v>
      </c>
      <c r="T28" s="79" t="s">
        <v>78</v>
      </c>
      <c r="U28" s="69"/>
    </row>
    <row r="29" customFormat="false" ht="15" hidden="false" customHeight="false" outlineLevel="0" collapsed="false">
      <c r="A29" s="69"/>
      <c r="B29" s="69"/>
      <c r="C29" s="776"/>
      <c r="D29" s="734" t="s">
        <v>559</v>
      </c>
      <c r="E29" s="777"/>
      <c r="F29" s="777"/>
      <c r="G29" s="777"/>
      <c r="H29" s="777"/>
      <c r="I29" s="777"/>
      <c r="J29" s="777"/>
      <c r="K29" s="777"/>
      <c r="L29" s="778"/>
      <c r="M29" s="777"/>
      <c r="N29" s="776"/>
      <c r="O29" s="69"/>
      <c r="P29" s="79" t="s">
        <v>179</v>
      </c>
      <c r="Q29" s="78"/>
      <c r="R29" s="78"/>
      <c r="S29" s="79" t="s">
        <v>87</v>
      </c>
      <c r="T29" s="79" t="s">
        <v>79</v>
      </c>
      <c r="U29" s="69"/>
    </row>
    <row r="30" customFormat="false" ht="14.25" hidden="false" customHeight="false" outlineLevel="0" collapsed="false">
      <c r="A30" s="69"/>
      <c r="B30" s="69"/>
      <c r="C30" s="650"/>
      <c r="D30" s="779" t="s">
        <v>560</v>
      </c>
      <c r="E30" s="779"/>
      <c r="F30" s="779"/>
      <c r="G30" s="779"/>
      <c r="H30" s="779"/>
      <c r="I30" s="779"/>
      <c r="J30" s="779"/>
      <c r="K30" s="779"/>
      <c r="L30" s="779"/>
      <c r="M30" s="779"/>
      <c r="N30" s="650"/>
      <c r="O30" s="69"/>
      <c r="P30" s="79" t="s">
        <v>180</v>
      </c>
      <c r="Q30" s="78"/>
      <c r="R30" s="78"/>
      <c r="S30" s="79" t="s">
        <v>91</v>
      </c>
      <c r="T30" s="79" t="s">
        <v>81</v>
      </c>
      <c r="U30" s="69"/>
    </row>
    <row r="31" customFormat="false" ht="46.15" hidden="false" customHeight="false" outlineLevel="0" collapsed="false">
      <c r="A31" s="736" t="s">
        <v>540</v>
      </c>
      <c r="B31" s="69"/>
      <c r="C31" s="650"/>
      <c r="D31" s="780"/>
      <c r="E31" s="738" t="s">
        <v>561</v>
      </c>
      <c r="F31" s="739" t="s">
        <v>543</v>
      </c>
      <c r="G31" s="781" t="s">
        <v>544</v>
      </c>
      <c r="H31" s="740" t="s">
        <v>545</v>
      </c>
      <c r="I31" s="740" t="s">
        <v>562</v>
      </c>
      <c r="J31" s="740" t="s">
        <v>547</v>
      </c>
      <c r="K31" s="740" t="s">
        <v>548</v>
      </c>
      <c r="L31" s="740" t="s">
        <v>549</v>
      </c>
      <c r="M31" s="741" t="s">
        <v>550</v>
      </c>
      <c r="N31" s="650"/>
      <c r="O31" s="69"/>
      <c r="P31" s="79" t="s">
        <v>181</v>
      </c>
      <c r="Q31" s="78"/>
      <c r="R31" s="78"/>
      <c r="S31" s="78"/>
      <c r="T31" s="79" t="s">
        <v>83</v>
      </c>
      <c r="U31" s="69"/>
    </row>
    <row r="32" customFormat="false" ht="14.25" hidden="false" customHeight="false" outlineLevel="0" collapsed="false">
      <c r="A32" s="742"/>
      <c r="B32" s="69"/>
      <c r="C32" s="650"/>
      <c r="D32" s="782" t="s">
        <v>551</v>
      </c>
      <c r="E32" s="744" t="s">
        <v>563</v>
      </c>
      <c r="F32" s="745" t="n">
        <v>1</v>
      </c>
      <c r="G32" s="745" t="n">
        <v>1989</v>
      </c>
      <c r="H32" s="783" t="n">
        <f aca="true">IF(G32=0,"",
IF(AND(Contents!$C$11&gt;0,Contents!$C$11-$G32&lt;9,Contents!$C$11-$G32&gt;=0),
OFFSET(Contents!$B$79,0,(Contents!$C$11-$G32)),0))</f>
        <v>0</v>
      </c>
      <c r="I32" s="784" t="n">
        <f aca="false">IF(AND(Contents!$C$13="Sequential", G32&gt;0, G32=Contents!$C$11, Contents!$C$12&gt;1, Contents!$C$12&gt;A32), J32,
IF(AND(G32&gt;0,G32&lt;Contents!$C$11), J32,0))</f>
        <v>417.2</v>
      </c>
      <c r="J32" s="748" t="n">
        <v>417.2</v>
      </c>
      <c r="K32" s="747" t="n">
        <f aca="true">(IF(AND(Contents!$C$11&gt;0,Contents!$C$11-$G32&lt;9,Contents!$C$11-$G32&gt;=0),
ROUND(OFFSET(Contents!$B$77,0,(Contents!$C$11-$G32)-1)*J32,2),
IF(AND(Contents!$C$11&gt;0,J32&gt;0),J32,0)))</f>
        <v>417.2</v>
      </c>
      <c r="L32" s="747" t="n">
        <f aca="false">IF(H32="",0,ROUND(H32*J32*IF(Contents!$C$12=4,1,0),2))</f>
        <v>0</v>
      </c>
      <c r="M32" s="749" t="n">
        <f aca="false">IF(H32="",0,K32+L32)</f>
        <v>417.2</v>
      </c>
      <c r="N32" s="650"/>
      <c r="O32" s="69"/>
      <c r="P32" s="79" t="s">
        <v>76</v>
      </c>
      <c r="Q32" s="78"/>
      <c r="R32" s="78"/>
      <c r="S32" s="78"/>
      <c r="T32" s="79" t="s">
        <v>85</v>
      </c>
      <c r="U32" s="69"/>
    </row>
    <row r="33" customFormat="false" ht="14.25" hidden="false" customHeight="false" outlineLevel="0" collapsed="false">
      <c r="A33" s="742"/>
      <c r="B33" s="69"/>
      <c r="C33" s="650"/>
      <c r="D33" s="785" t="s">
        <v>551</v>
      </c>
      <c r="E33" s="751" t="s">
        <v>564</v>
      </c>
      <c r="F33" s="685" t="n">
        <v>1</v>
      </c>
      <c r="G33" s="685" t="n">
        <v>2013</v>
      </c>
      <c r="H33" s="786" t="n">
        <f aca="true">IF(G33=0,"",
IF(AND(Contents!$C$11&gt;0,Contents!$C$11-$G33&lt;9,Contents!$C$11-$G33&gt;=0),
OFFSET(Contents!$B$79,0,(Contents!$C$11-$G33)),0))</f>
        <v>0</v>
      </c>
      <c r="I33" s="787" t="n">
        <f aca="false">IF(AND(Contents!$C$13="Sequential", G33&gt;0, G33=Contents!$C$11, Contents!$C$12&gt;1, Contents!$C$12&gt;A33), J33,
IF(AND(G33&gt;0,G33&lt;Contents!$C$11), J33,0))</f>
        <v>5022.12</v>
      </c>
      <c r="J33" s="754" t="n">
        <v>5022.12</v>
      </c>
      <c r="K33" s="753" t="n">
        <f aca="true">(IF(AND(Contents!$C$11&gt;0,Contents!$C$11-$G33&lt;9,Contents!$C$11-$G33&gt;=0),
ROUND(OFFSET(Contents!$B$77,0,(Contents!$C$11-$G33)-1)*J33,2),
IF(AND(Contents!$C$11&gt;0,J33&gt;0),J33,0)))</f>
        <v>5022.12</v>
      </c>
      <c r="L33" s="753" t="n">
        <f aca="false">IF(H33="",0,ROUND(H33*J33*IF(Contents!$C$12=4,1,0),2))</f>
        <v>0</v>
      </c>
      <c r="M33" s="755" t="n">
        <f aca="false">IF(H33="",0,K33+L33)</f>
        <v>5022.12</v>
      </c>
      <c r="N33" s="650"/>
      <c r="O33" s="69"/>
      <c r="P33" s="79" t="s">
        <v>78</v>
      </c>
      <c r="Q33" s="78"/>
      <c r="R33" s="78"/>
      <c r="S33" s="78"/>
      <c r="T33" s="79" t="s">
        <v>86</v>
      </c>
      <c r="U33" s="69"/>
    </row>
    <row r="34" customFormat="false" ht="14.25" hidden="false" customHeight="false" outlineLevel="0" collapsed="false">
      <c r="A34" s="742"/>
      <c r="B34" s="69"/>
      <c r="C34" s="650"/>
      <c r="D34" s="785" t="s">
        <v>551</v>
      </c>
      <c r="E34" s="751" t="s">
        <v>565</v>
      </c>
      <c r="F34" s="685" t="n">
        <v>2</v>
      </c>
      <c r="G34" s="685" t="n">
        <v>2001</v>
      </c>
      <c r="H34" s="786" t="n">
        <f aca="true">IF(G34=0,"",
IF(AND(Contents!$C$11&gt;0,Contents!$C$11-$G34&lt;9,Contents!$C$11-$G34&gt;=0),
OFFSET(Contents!$B$79,0,(Contents!$C$11-$G34)),0))</f>
        <v>0</v>
      </c>
      <c r="I34" s="787" t="n">
        <f aca="false">IF(AND(Contents!$C$13="Sequential", G34&gt;0, G34=Contents!$C$11, Contents!$C$12&gt;1, Contents!$C$12&gt;A34), J34,
IF(AND(G34&gt;0,G34&lt;Contents!$C$11), J34,0))</f>
        <v>1400</v>
      </c>
      <c r="J34" s="754" t="n">
        <v>1400</v>
      </c>
      <c r="K34" s="753" t="n">
        <f aca="true">(IF(AND(Contents!$C$11&gt;0,Contents!$C$11-$G34&lt;9,Contents!$C$11-$G34&gt;=0),
ROUND(OFFSET(Contents!$B$77,0,(Contents!$C$11-$G34)-1)*J34,2),
IF(AND(Contents!$C$11&gt;0,J34&gt;0),J34,0)))</f>
        <v>1400</v>
      </c>
      <c r="L34" s="753" t="n">
        <f aca="false">IF(H34="",0,ROUND(H34*J34*IF(Contents!$C$12=4,1,0),2))</f>
        <v>0</v>
      </c>
      <c r="M34" s="755" t="n">
        <f aca="false">IF(H34="",0,K34+L34)</f>
        <v>1400</v>
      </c>
      <c r="N34" s="650"/>
      <c r="O34" s="69"/>
      <c r="P34" s="79" t="s">
        <v>79</v>
      </c>
      <c r="Q34" s="78"/>
      <c r="R34" s="78"/>
      <c r="S34" s="78"/>
      <c r="T34" s="79" t="s">
        <v>87</v>
      </c>
      <c r="U34" s="69"/>
    </row>
    <row r="35" customFormat="false" ht="14.25" hidden="false" customHeight="false" outlineLevel="0" collapsed="false">
      <c r="A35" s="742"/>
      <c r="B35" s="69"/>
      <c r="C35" s="650"/>
      <c r="D35" s="785" t="s">
        <v>551</v>
      </c>
      <c r="E35" s="751" t="s">
        <v>566</v>
      </c>
      <c r="F35" s="685" t="n">
        <v>1</v>
      </c>
      <c r="G35" s="685" t="n">
        <v>2001</v>
      </c>
      <c r="H35" s="786" t="n">
        <f aca="true">IF(G35=0,"",
IF(AND(Contents!$C$11&gt;0,Contents!$C$11-$G35&lt;9,Contents!$C$11-$G35&gt;=0),
OFFSET(Contents!$B$79,0,(Contents!$C$11-$G35)),0))</f>
        <v>0</v>
      </c>
      <c r="I35" s="787" t="n">
        <f aca="false">IF(AND(Contents!$C$13="Sequential", G35&gt;0, G35=Contents!$C$11, Contents!$C$12&gt;1, Contents!$C$12&gt;A35), J35,
IF(AND(G35&gt;0,G35&lt;Contents!$C$11), J35,0))</f>
        <v>4322</v>
      </c>
      <c r="J35" s="754" t="n">
        <v>4322</v>
      </c>
      <c r="K35" s="753" t="n">
        <f aca="true">(IF(AND(Contents!$C$11&gt;0,Contents!$C$11-$G35&lt;9,Contents!$C$11-$G35&gt;=0),
ROUND(OFFSET(Contents!$B$77,0,(Contents!$C$11-$G35)-1)*J35,2),
IF(AND(Contents!$C$11&gt;0,J35&gt;0),J35,0)))</f>
        <v>4322</v>
      </c>
      <c r="L35" s="753" t="n">
        <f aca="false">IF(H35="",0,ROUND(H35*J35*IF(Contents!$C$12=4,1,0),2))</f>
        <v>0</v>
      </c>
      <c r="M35" s="755" t="n">
        <f aca="false">IF(H35="",0,K35+L35)</f>
        <v>4322</v>
      </c>
      <c r="N35" s="650"/>
      <c r="O35" s="69"/>
      <c r="P35" s="79" t="s">
        <v>81</v>
      </c>
      <c r="Q35" s="78"/>
      <c r="R35" s="78"/>
      <c r="S35" s="78"/>
      <c r="T35" s="79" t="s">
        <v>89</v>
      </c>
      <c r="U35" s="69"/>
    </row>
    <row r="36" customFormat="false" ht="14.25" hidden="false" customHeight="false" outlineLevel="0" collapsed="false">
      <c r="A36" s="742"/>
      <c r="B36" s="69"/>
      <c r="C36" s="650"/>
      <c r="D36" s="785" t="s">
        <v>551</v>
      </c>
      <c r="E36" s="751" t="s">
        <v>567</v>
      </c>
      <c r="F36" s="685" t="n">
        <v>1</v>
      </c>
      <c r="G36" s="685" t="n">
        <v>2007</v>
      </c>
      <c r="H36" s="786" t="n">
        <f aca="true">IF(G36=0,"",
IF(AND(Contents!$C$11&gt;0,Contents!$C$11-$G36&lt;9,Contents!$C$11-$G36&gt;=0),
OFFSET(Contents!$B$79,0,(Contents!$C$11-$G36)),0))</f>
        <v>0</v>
      </c>
      <c r="I36" s="787" t="n">
        <f aca="false">IF(AND(Contents!$C$13="Sequential", G36&gt;0, G36=Contents!$C$11, Contents!$C$12&gt;1, Contents!$C$12&gt;A36), J36,
IF(AND(G36&gt;0,G36&lt;Contents!$C$11), J36,0))</f>
        <v>3659.76</v>
      </c>
      <c r="J36" s="754" t="n">
        <v>3659.76</v>
      </c>
      <c r="K36" s="753" t="n">
        <f aca="true">(IF(AND(Contents!$C$11&gt;0,Contents!$C$11-$G36&lt;9,Contents!$C$11-$G36&gt;=0),
ROUND(OFFSET(Contents!$B$77,0,(Contents!$C$11-$G36)-1)*J36,2),
IF(AND(Contents!$C$11&gt;0,J36&gt;0),J36,0)))</f>
        <v>3659.76</v>
      </c>
      <c r="L36" s="753" t="n">
        <f aca="false">IF(H36="",0,ROUND(H36*J36*IF(Contents!$C$12=4,1,0),2))</f>
        <v>0</v>
      </c>
      <c r="M36" s="755" t="n">
        <f aca="false">IF(H36="",0,K36+L36)</f>
        <v>3659.76</v>
      </c>
      <c r="N36" s="650"/>
      <c r="O36" s="69"/>
      <c r="P36" s="79" t="s">
        <v>83</v>
      </c>
      <c r="Q36" s="78"/>
      <c r="R36" s="78"/>
      <c r="S36" s="78"/>
      <c r="T36" s="79" t="s">
        <v>90</v>
      </c>
      <c r="U36" s="69"/>
    </row>
    <row r="37" customFormat="false" ht="14.25" hidden="false" customHeight="false" outlineLevel="0" collapsed="false">
      <c r="A37" s="742"/>
      <c r="B37" s="69"/>
      <c r="C37" s="650"/>
      <c r="D37" s="785" t="s">
        <v>551</v>
      </c>
      <c r="E37" s="751" t="s">
        <v>568</v>
      </c>
      <c r="F37" s="685" t="n">
        <v>1</v>
      </c>
      <c r="G37" s="685" t="n">
        <v>2013</v>
      </c>
      <c r="H37" s="786" t="n">
        <f aca="true">IF(G37=0,"",
IF(AND(Contents!$C$11&gt;0,Contents!$C$11-$G37&lt;9,Contents!$C$11-$G37&gt;=0),
OFFSET(Contents!$B$79,0,(Contents!$C$11-$G37)),0))</f>
        <v>0</v>
      </c>
      <c r="I37" s="787" t="n">
        <f aca="false">IF(AND(Contents!$C$13="Sequential", G37&gt;0, G37=Contents!$C$11, Contents!$C$12&gt;1, Contents!$C$12&gt;A37), J37,
IF(AND(G37&gt;0,G37&lt;Contents!$C$11), J37,0))</f>
        <v>1256</v>
      </c>
      <c r="J37" s="754" t="n">
        <v>1256</v>
      </c>
      <c r="K37" s="753" t="n">
        <f aca="true">(IF(AND(Contents!$C$11&gt;0,Contents!$C$11-$G37&lt;9,Contents!$C$11-$G37&gt;=0),
ROUND(OFFSET(Contents!$B$77,0,(Contents!$C$11-$G37)-1)*J37,2),
IF(AND(Contents!$C$11&gt;0,J37&gt;0),J37,0)))</f>
        <v>1256</v>
      </c>
      <c r="L37" s="753" t="n">
        <f aca="false">IF(H37="",0,ROUND(H37*J37*IF(Contents!$C$12=4,1,0),2))</f>
        <v>0</v>
      </c>
      <c r="M37" s="755" t="n">
        <f aca="false">IF(H37="",0,K37+L37)</f>
        <v>1256</v>
      </c>
      <c r="N37" s="650"/>
      <c r="O37" s="69"/>
      <c r="P37" s="79" t="s">
        <v>85</v>
      </c>
      <c r="Q37" s="78"/>
      <c r="R37" s="78"/>
      <c r="S37" s="78"/>
      <c r="T37" s="79" t="s">
        <v>192</v>
      </c>
      <c r="U37" s="69"/>
    </row>
    <row r="38" customFormat="false" ht="14.25" hidden="false" customHeight="false" outlineLevel="0" collapsed="false">
      <c r="A38" s="742"/>
      <c r="B38" s="69"/>
      <c r="C38" s="650"/>
      <c r="D38" s="785" t="s">
        <v>551</v>
      </c>
      <c r="E38" s="751" t="s">
        <v>569</v>
      </c>
      <c r="F38" s="685" t="n">
        <v>1</v>
      </c>
      <c r="G38" s="685" t="n">
        <v>2016</v>
      </c>
      <c r="H38" s="786" t="n">
        <f aca="true">IF(G38=0,"",
IF(AND(Contents!$C$11&gt;0,Contents!$C$11-$G38&lt;9,Contents!$C$11-$G38&gt;=0),
OFFSET(Contents!$B$79,0,(Contents!$C$11-$G38)),0))</f>
        <v>0</v>
      </c>
      <c r="I38" s="787" t="n">
        <f aca="false">IF(AND(Contents!$C$13="Sequential", G38&gt;0, G38=Contents!$C$11, Contents!$C$12&gt;1, Contents!$C$12&gt;A38), J38,
IF(AND(G38&gt;0,G38&lt;Contents!$C$11), J38,0))</f>
        <v>725</v>
      </c>
      <c r="J38" s="754" t="n">
        <v>725</v>
      </c>
      <c r="K38" s="753" t="n">
        <f aca="true">(IF(AND(Contents!$C$11&gt;0,Contents!$C$11-$G38&lt;9,Contents!$C$11-$G38&gt;=0),
ROUND(OFFSET(Contents!$B$77,0,(Contents!$C$11-$G38)-1)*J38,2),
IF(AND(Contents!$C$11&gt;0,J38&gt;0),J38,0)))</f>
        <v>725</v>
      </c>
      <c r="L38" s="753" t="n">
        <f aca="false">IF(H38="",0,ROUND(H38*J38*IF(Contents!$C$12=4,1,0),2))</f>
        <v>0</v>
      </c>
      <c r="M38" s="755" t="n">
        <f aca="false">IF(H38="",0,K38+L38)</f>
        <v>725</v>
      </c>
      <c r="N38" s="650"/>
      <c r="O38" s="69"/>
      <c r="P38" s="79" t="s">
        <v>86</v>
      </c>
      <c r="Q38" s="78"/>
      <c r="R38" s="78"/>
      <c r="S38" s="78"/>
      <c r="T38" s="79" t="s">
        <v>91</v>
      </c>
      <c r="U38" s="69"/>
    </row>
    <row r="39" customFormat="false" ht="14.25" hidden="false" customHeight="false" outlineLevel="0" collapsed="false">
      <c r="A39" s="742"/>
      <c r="B39" s="69"/>
      <c r="C39" s="650"/>
      <c r="D39" s="785" t="s">
        <v>551</v>
      </c>
      <c r="E39" s="751" t="s">
        <v>570</v>
      </c>
      <c r="F39" s="685" t="n">
        <v>2</v>
      </c>
      <c r="G39" s="685" t="n">
        <v>2017</v>
      </c>
      <c r="H39" s="788" t="n">
        <f aca="true">IF(G39=0,"",
IF(AND(Contents!$C$11&gt;0,Contents!$C$11-$G39&lt;9,Contents!$C$11-$G39&gt;=0),
OFFSET(Contents!$B$79,0,(Contents!$C$11-$G39)),0))</f>
        <v>0</v>
      </c>
      <c r="I39" s="787" t="n">
        <f aca="false">IF(AND(Contents!$C$13="Sequential", G39&gt;0, G39=Contents!$C$11, Contents!$C$12&gt;1, Contents!$C$12&gt;A39), J39,
IF(AND(G39&gt;0,G39&lt;Contents!$C$11), J39,0))</f>
        <v>1900</v>
      </c>
      <c r="J39" s="754" t="n">
        <v>1900</v>
      </c>
      <c r="K39" s="753" t="n">
        <f aca="true">(IF(AND(Contents!$C$11&gt;0,Contents!$C$11-$G39&lt;9,Contents!$C$11-$G39&gt;=0),
ROUND(OFFSET(Contents!$B$77,0,(Contents!$C$11-$G39)-1)*J39,2),
IF(AND(Contents!$C$11&gt;0,J39&gt;0),J39,0)))</f>
        <v>1900</v>
      </c>
      <c r="L39" s="753" t="n">
        <f aca="false">IF(H39="",0,ROUND(H39*J39*IF(Contents!$C$12=4,1,0),2))</f>
        <v>0</v>
      </c>
      <c r="M39" s="755" t="n">
        <v>1900</v>
      </c>
      <c r="N39" s="650"/>
      <c r="O39" s="69"/>
      <c r="P39" s="79" t="s">
        <v>87</v>
      </c>
      <c r="Q39" s="78"/>
      <c r="R39" s="78"/>
      <c r="S39" s="78"/>
      <c r="T39" s="79"/>
      <c r="U39" s="69"/>
    </row>
    <row r="40" customFormat="false" ht="14.25" hidden="false" customHeight="false" outlineLevel="0" collapsed="false">
      <c r="A40" s="742"/>
      <c r="B40" s="69"/>
      <c r="C40" s="650"/>
      <c r="D40" s="785" t="s">
        <v>551</v>
      </c>
      <c r="E40" s="751" t="s">
        <v>571</v>
      </c>
      <c r="F40" s="685" t="n">
        <v>2</v>
      </c>
      <c r="G40" s="685" t="n">
        <v>2017</v>
      </c>
      <c r="H40" s="786" t="n">
        <f aca="true">IF(G40=0,"",
IF(AND(Contents!$C$11&gt;0,Contents!$C$11-$G40&lt;9,Contents!$C$11-$G40&gt;=0),
OFFSET(Contents!$B$79,0,(Contents!$C$11-$G40)),0))</f>
        <v>0</v>
      </c>
      <c r="I40" s="787" t="n">
        <f aca="false">IF(AND(Contents!$C$13="Sequential", G40&gt;0, G40=Contents!$C$11, Contents!$C$12&gt;1, Contents!$C$12&gt;A40), J40,
IF(AND(G40&gt;0,G40&lt;Contents!$C$11), J40,0))</f>
        <v>1900</v>
      </c>
      <c r="J40" s="754" t="n">
        <v>1900</v>
      </c>
      <c r="K40" s="753" t="n">
        <f aca="true">(IF(AND(Contents!$C$11&gt;0,Contents!$C$11-$G40&lt;9,Contents!$C$11-$G40&gt;=0),
ROUND(OFFSET(Contents!$B$77,0,(Contents!$C$11-$G40)-1)*J40,2),
IF(AND(Contents!$C$11&gt;0,J40&gt;0),J40,0)))</f>
        <v>1900</v>
      </c>
      <c r="L40" s="753" t="n">
        <f aca="false">IF(H40="",0,ROUND(H40*J40*IF(Contents!$C$12=4,1,0),2))</f>
        <v>0</v>
      </c>
      <c r="M40" s="755" t="n">
        <v>1900</v>
      </c>
      <c r="N40" s="650"/>
      <c r="O40" s="69"/>
      <c r="P40" s="79" t="s">
        <v>89</v>
      </c>
      <c r="Q40" s="78"/>
      <c r="R40" s="78"/>
      <c r="S40" s="78"/>
      <c r="T40" s="78"/>
      <c r="U40" s="69"/>
    </row>
    <row r="41" customFormat="false" ht="14.25" hidden="false" customHeight="false" outlineLevel="0" collapsed="false">
      <c r="A41" s="756"/>
      <c r="B41" s="69"/>
      <c r="C41" s="650"/>
      <c r="D41" s="789"/>
      <c r="E41" s="751"/>
      <c r="F41" s="685"/>
      <c r="G41" s="685"/>
      <c r="H41" s="786" t="str">
        <f aca="true">IF(G41=0,"",
IF(AND(Contents!$C$11&gt;0,Contents!$C$11-$G41&lt;9,Contents!$C$11-$G41&gt;=0),
OFFSET(Contents!$B$79,0,(Contents!$C$11-$G41)),0))</f>
        <v/>
      </c>
      <c r="I41" s="790" t="n">
        <f aca="false">IF(AND(Contents!$C$13="Sequential", G41&gt;0, G41=Contents!$C$11, Contents!$C$12&gt;1, Contents!$C$12&gt;A41), J41,
IF(AND(G41&gt;0,G41&lt;Contents!$C$11), J41,0))</f>
        <v>0</v>
      </c>
      <c r="J41" s="754"/>
      <c r="K41" s="753" t="n">
        <f aca="true">(IF(AND(Contents!$C$11&gt;0,Contents!$C$11-$G41&lt;9,Contents!$C$11-$G41&gt;=0),
ROUND(OFFSET(Contents!$B$77,0,(Contents!$C$11-$G41)-1)*J41,2),
IF(AND(Contents!$C$11&gt;0,J41&gt;0),J41,0)))</f>
        <v>0</v>
      </c>
      <c r="L41" s="753" t="n">
        <f aca="false">IF(H41="",0,ROUND(H41*J41*IF(Contents!$C$12=4,1,0),2))</f>
        <v>0</v>
      </c>
      <c r="M41" s="755" t="n">
        <f aca="false">IF(H41="",0,K41+L41)</f>
        <v>0</v>
      </c>
      <c r="N41" s="650"/>
      <c r="O41" s="69"/>
      <c r="P41" s="79" t="s">
        <v>90</v>
      </c>
      <c r="Q41" s="78"/>
      <c r="R41" s="78"/>
      <c r="S41" s="78"/>
      <c r="T41" s="117"/>
      <c r="U41" s="69"/>
    </row>
    <row r="42" customFormat="false" ht="14.25" hidden="false" customHeight="false" outlineLevel="0" collapsed="false">
      <c r="A42" s="69"/>
      <c r="B42" s="69"/>
      <c r="C42" s="650"/>
      <c r="D42" s="711"/>
      <c r="E42" s="712"/>
      <c r="F42" s="791" t="s">
        <v>572</v>
      </c>
      <c r="G42" s="791"/>
      <c r="H42" s="791"/>
      <c r="I42" s="792" t="n">
        <f aca="false">SUM(I32:I41)</f>
        <v>20602.08</v>
      </c>
      <c r="J42" s="792" t="n">
        <f aca="false">SUM(J32:J41)</f>
        <v>20602.08</v>
      </c>
      <c r="K42" s="792" t="n">
        <f aca="false">SUM(K32:K41)</f>
        <v>20602.08</v>
      </c>
      <c r="L42" s="792" t="n">
        <f aca="false">SUM(L32:L41)</f>
        <v>0</v>
      </c>
      <c r="M42" s="793" t="n">
        <f aca="false">SUM(M32:M41)</f>
        <v>20602.08</v>
      </c>
      <c r="N42" s="650"/>
      <c r="O42" s="69"/>
      <c r="P42" s="79" t="s">
        <v>192</v>
      </c>
      <c r="Q42" s="78"/>
      <c r="R42" s="78"/>
      <c r="S42" s="78"/>
      <c r="T42" s="78"/>
      <c r="U42" s="69"/>
    </row>
    <row r="43" customFormat="false" ht="14.25" hidden="false" customHeight="true" outlineLevel="0" collapsed="false">
      <c r="A43" s="69"/>
      <c r="B43" s="69"/>
      <c r="C43" s="650"/>
      <c r="D43" s="794" t="s">
        <v>573</v>
      </c>
      <c r="E43" s="712"/>
      <c r="F43" s="791"/>
      <c r="G43" s="761" t="s">
        <v>556</v>
      </c>
      <c r="H43" s="761"/>
      <c r="I43" s="761"/>
      <c r="J43" s="761"/>
      <c r="K43" s="761"/>
      <c r="L43" s="761"/>
      <c r="M43" s="761"/>
      <c r="N43" s="650"/>
      <c r="O43" s="762"/>
      <c r="P43" s="79" t="s">
        <v>91</v>
      </c>
      <c r="Q43" s="78"/>
      <c r="R43" s="78"/>
      <c r="S43" s="78"/>
      <c r="T43" s="78"/>
      <c r="U43" s="762"/>
    </row>
    <row r="44" customFormat="false" ht="14.25" hidden="false" customHeight="false" outlineLevel="0" collapsed="false">
      <c r="A44" s="762"/>
      <c r="B44" s="762"/>
      <c r="C44" s="650"/>
      <c r="D44" s="763" t="s">
        <v>557</v>
      </c>
      <c r="E44" s="650"/>
      <c r="F44" s="765" t="n">
        <f aca="true">IF(Contents!$C$11="",YEAR(NOW()),Contents!$C$11)</f>
        <v>2025</v>
      </c>
      <c r="G44" s="766" t="n">
        <f aca="false">F44-1</f>
        <v>2024</v>
      </c>
      <c r="H44" s="766" t="n">
        <f aca="false">G44-1</f>
        <v>2023</v>
      </c>
      <c r="I44" s="766" t="n">
        <f aca="false">H44-1</f>
        <v>2022</v>
      </c>
      <c r="J44" s="766" t="n">
        <f aca="false">I44-1</f>
        <v>2021</v>
      </c>
      <c r="K44" s="766" t="n">
        <f aca="false">J44-1</f>
        <v>2020</v>
      </c>
      <c r="L44" s="766" t="n">
        <f aca="false">K44-1</f>
        <v>2019</v>
      </c>
      <c r="M44" s="767" t="n">
        <f aca="false">L44-1</f>
        <v>2018</v>
      </c>
      <c r="N44" s="650"/>
      <c r="O44" s="69"/>
      <c r="P44" s="78"/>
      <c r="Q44" s="78"/>
      <c r="R44" s="78"/>
      <c r="S44" s="78"/>
      <c r="T44" s="78"/>
      <c r="U44" s="69"/>
    </row>
    <row r="45" customFormat="false" ht="14.25" hidden="false" customHeight="false" outlineLevel="0" collapsed="false">
      <c r="A45" s="69"/>
      <c r="B45" s="69"/>
      <c r="C45" s="650"/>
      <c r="D45" s="769" t="s">
        <v>558</v>
      </c>
      <c r="E45" s="770"/>
      <c r="F45" s="771" t="n">
        <v>0.1429</v>
      </c>
      <c r="G45" s="795" t="n">
        <v>0.2449</v>
      </c>
      <c r="H45" s="772" t="n">
        <v>0.1749</v>
      </c>
      <c r="I45" s="772" t="n">
        <v>0.1249</v>
      </c>
      <c r="J45" s="772" t="n">
        <v>0.0893</v>
      </c>
      <c r="K45" s="772" t="n">
        <v>0.0892</v>
      </c>
      <c r="L45" s="795" t="n">
        <v>0.0893</v>
      </c>
      <c r="M45" s="773" t="n">
        <v>0.0446</v>
      </c>
      <c r="N45" s="650"/>
      <c r="O45" s="69"/>
      <c r="P45" s="78"/>
      <c r="Q45" s="78"/>
      <c r="R45" s="78"/>
      <c r="S45" s="78"/>
      <c r="T45" s="78"/>
      <c r="U45" s="69"/>
    </row>
    <row r="46" customFormat="false" ht="14.25" hidden="false" customHeight="false" outlineLevel="0" collapsed="false">
      <c r="A46" s="69"/>
      <c r="B46" s="69"/>
      <c r="C46" s="651"/>
      <c r="D46" s="651"/>
      <c r="E46" s="651"/>
      <c r="F46" s="651"/>
      <c r="G46" s="651"/>
      <c r="H46" s="651"/>
      <c r="I46" s="651"/>
      <c r="J46" s="651"/>
      <c r="K46" s="651"/>
      <c r="L46" s="651"/>
      <c r="M46" s="796"/>
      <c r="N46" s="651"/>
      <c r="O46" s="69"/>
      <c r="Q46" s="78"/>
      <c r="R46" s="78"/>
      <c r="S46" s="78"/>
      <c r="T46" s="78"/>
      <c r="U46" s="69"/>
    </row>
    <row r="47" customFormat="false" ht="14.25" hidden="false" customHeight="false" outlineLevel="0" collapsed="false">
      <c r="A47" s="69"/>
      <c r="B47" s="69"/>
      <c r="C47" s="650"/>
      <c r="D47" s="797" t="s">
        <v>574</v>
      </c>
      <c r="E47" s="797"/>
      <c r="F47" s="797"/>
      <c r="G47" s="797"/>
      <c r="H47" s="797"/>
      <c r="I47" s="798" t="n">
        <f aca="false">I24+I42</f>
        <v>32802.08</v>
      </c>
      <c r="J47" s="798" t="n">
        <f aca="false">J24+J42</f>
        <v>32802.08</v>
      </c>
      <c r="K47" s="798" t="n">
        <f aca="false">K24+K42</f>
        <v>32802.08</v>
      </c>
      <c r="L47" s="798" t="n">
        <f aca="false">L24+L42</f>
        <v>0</v>
      </c>
      <c r="M47" s="799" t="n">
        <f aca="false">M24+M42</f>
        <v>32802.08</v>
      </c>
      <c r="N47" s="650"/>
      <c r="O47" s="800"/>
      <c r="Q47" s="78"/>
      <c r="R47" s="78"/>
      <c r="S47" s="78"/>
      <c r="T47" s="78"/>
      <c r="U47" s="800"/>
    </row>
    <row r="48" customFormat="false" ht="14.25" hidden="false" customHeight="true" outlineLevel="0" collapsed="false">
      <c r="A48" s="800"/>
      <c r="B48" s="800"/>
      <c r="C48" s="650"/>
      <c r="D48" s="801"/>
      <c r="E48" s="801"/>
      <c r="F48" s="801"/>
      <c r="G48" s="801"/>
      <c r="H48" s="801"/>
      <c r="I48" s="802" t="s">
        <v>575</v>
      </c>
      <c r="J48" s="802" t="s">
        <v>575</v>
      </c>
      <c r="K48" s="803" t="s">
        <v>576</v>
      </c>
      <c r="L48" s="802" t="s">
        <v>577</v>
      </c>
      <c r="M48" s="804" t="s">
        <v>578</v>
      </c>
      <c r="N48" s="650"/>
      <c r="O48" s="69"/>
      <c r="S48" s="78"/>
      <c r="U48" s="69"/>
    </row>
    <row r="49" customFormat="false" ht="14.25" hidden="false" customHeight="false" outlineLevel="0" collapsed="false">
      <c r="A49" s="69"/>
      <c r="B49" s="69"/>
      <c r="C49" s="650"/>
      <c r="D49" s="801"/>
      <c r="E49" s="801"/>
      <c r="F49" s="801"/>
      <c r="G49" s="801"/>
      <c r="H49" s="801"/>
      <c r="I49" s="805" t="s">
        <v>579</v>
      </c>
      <c r="J49" s="805" t="s">
        <v>580</v>
      </c>
      <c r="K49" s="803"/>
      <c r="L49" s="805" t="s">
        <v>213</v>
      </c>
      <c r="M49" s="806" t="s">
        <v>580</v>
      </c>
      <c r="N49" s="650"/>
      <c r="O49" s="69"/>
      <c r="S49" s="78"/>
      <c r="U49" s="69"/>
    </row>
    <row r="50" customFormat="false" ht="14.25" hidden="false" customHeight="false" outlineLevel="0" collapsed="false">
      <c r="A50" s="69"/>
      <c r="B50" s="69"/>
      <c r="C50" s="807"/>
      <c r="D50" s="808" t="s">
        <v>534</v>
      </c>
      <c r="E50" s="808"/>
      <c r="F50" s="808"/>
      <c r="G50" s="808"/>
      <c r="H50" s="808"/>
      <c r="I50" s="808"/>
      <c r="J50" s="808"/>
      <c r="K50" s="808"/>
      <c r="L50" s="808"/>
      <c r="M50" s="808"/>
      <c r="N50" s="807"/>
      <c r="O50" s="69"/>
      <c r="U50" s="69"/>
    </row>
    <row r="51" customFormat="false" ht="14.25" hidden="false" customHeight="false" outlineLevel="0" collapsed="false">
      <c r="A51" s="69"/>
      <c r="B51" s="69"/>
      <c r="C51" s="650"/>
      <c r="D51" s="809" t="s">
        <v>581</v>
      </c>
      <c r="E51" s="809"/>
      <c r="F51" s="809"/>
      <c r="G51" s="809"/>
      <c r="H51" s="809"/>
      <c r="I51" s="809"/>
      <c r="J51" s="809"/>
      <c r="K51" s="809"/>
      <c r="L51" s="809"/>
      <c r="M51" s="809"/>
      <c r="N51" s="650"/>
      <c r="O51" s="69"/>
      <c r="U51" s="69"/>
    </row>
    <row r="52" customFormat="false" ht="14.25" hidden="false" customHeight="false" outlineLevel="0" collapsed="false">
      <c r="A52" s="238" t="s">
        <v>582</v>
      </c>
    </row>
    <row r="53" customFormat="false" ht="14.25" hidden="false" customHeight="false" outlineLevel="0" collapsed="false">
      <c r="A53" s="238" t="s">
        <v>551</v>
      </c>
    </row>
    <row r="54" customFormat="false" ht="14.25" hidden="false" customHeight="false" outlineLevel="0" collapsed="false">
      <c r="A54" s="238" t="s">
        <v>583</v>
      </c>
    </row>
    <row r="55" customFormat="false" ht="14.25" hidden="false" customHeight="false" outlineLevel="0" collapsed="false">
      <c r="A55" s="238" t="n">
        <v>1</v>
      </c>
    </row>
    <row r="56" customFormat="false" ht="14.25" hidden="false" customHeight="false" outlineLevel="0" collapsed="false">
      <c r="A56" s="238" t="n">
        <v>2</v>
      </c>
    </row>
    <row r="57" customFormat="false" ht="14.25" hidden="false" customHeight="false" outlineLevel="0" collapsed="false">
      <c r="A57" s="238" t="n">
        <v>3</v>
      </c>
    </row>
    <row r="58" customFormat="false" ht="14.25" hidden="false" customHeight="false" outlineLevel="0" collapsed="false">
      <c r="A58" s="238" t="n">
        <v>4</v>
      </c>
    </row>
  </sheetData>
  <sheetProtection algorithmName="SHA-512" hashValue="CmeAkC9FvO2WPHPQLXGIyFWTTxO+QOwLOivIjxt/HsKjWhiPKMezPPyqzO/5Z4xNyW8hs+7S6+Dqt9TPTHDqpg==" saltValue="msfnMZHyBRhpAI3CwWc+Wg==" spinCount="100000" sheet="true" objects="true" scenarios="true"/>
  <mergeCells count="17">
    <mergeCell ref="D3:M3"/>
    <mergeCell ref="D4:M4"/>
    <mergeCell ref="D6:M6"/>
    <mergeCell ref="D8:M8"/>
    <mergeCell ref="D9:M9"/>
    <mergeCell ref="D12:M12"/>
    <mergeCell ref="G24:H24"/>
    <mergeCell ref="D25:F25"/>
    <mergeCell ref="G25:M25"/>
    <mergeCell ref="D30:M30"/>
    <mergeCell ref="F42:H42"/>
    <mergeCell ref="G43:M43"/>
    <mergeCell ref="D47:H47"/>
    <mergeCell ref="D48:H49"/>
    <mergeCell ref="K48:K49"/>
    <mergeCell ref="D50:M50"/>
    <mergeCell ref="D51:M51"/>
  </mergeCells>
  <conditionalFormatting sqref="A14:A23 A32:A33 A36:A38">
    <cfRule type="expression" priority="2" aboveAverage="0" equalAverage="0" bottom="0" percent="0" rank="0" text="" dxfId="27">
      <formula>AND($P$47="Sequential",$P$48&gt;1,$P$49=$G14)</formula>
    </cfRule>
  </conditionalFormatting>
  <conditionalFormatting sqref="A34:A35 A39:A41">
    <cfRule type="expression" priority="3" aboveAverage="0" equalAverage="0" bottom="0" percent="0" rank="0" text="" dxfId="28">
      <formula>AND($P$47="Sequential",$P$48&gt;1,$P$49=$G33)</formula>
    </cfRule>
  </conditionalFormatting>
  <dataValidations count="6">
    <dataValidation allowBlank="true" error="Use the drop down box." errorStyle="stop" operator="between" showDropDown="false" showErrorMessage="true" showInputMessage="true" sqref="D14:D23" type="list">
      <formula1>$A$52:$A$54</formula1>
      <formula2>0</formula2>
    </dataValidation>
    <dataValidation allowBlank="true" error="Enter a whole quantity greater than zero." errorStyle="stop" operator="greaterThan" showDropDown="false" showErrorMessage="true" showInputMessage="true" sqref="F14:F23 F32:F41" type="whole">
      <formula1>0</formula1>
      <formula2>0</formula2>
    </dataValidation>
    <dataValidation allowBlank="true" error="Enter a dollar amount greater than zero." errorStyle="stop" operator="greaterThanOrEqual" showDropDown="false" showErrorMessage="true" showInputMessage="true" sqref="J14:J23 J32:J41" type="decimal">
      <formula1>0</formula1>
      <formula2>0</formula2>
    </dataValidation>
    <dataValidation allowBlank="true" error="Enter full year greater than 1960." errorStyle="stop" operator="greaterThan" showDropDown="false" showErrorMessage="true" showInputMessage="true" sqref="G14:G23 G32:G41" type="whole">
      <formula1>1960</formula1>
      <formula2>0</formula2>
    </dataValidation>
    <dataValidation allowBlank="true" errorStyle="stop" operator="between" showDropDown="false" showErrorMessage="true" showInputMessage="true" sqref="A14:A23 A32:A41" type="list">
      <formula1>$A$55:$A$59</formula1>
      <formula2>0</formula2>
    </dataValidation>
    <dataValidation allowBlank="true" errorStyle="stop" operator="between" showDropDown="false" showErrorMessage="true" showInputMessage="true" sqref="D32:D41" type="list">
      <formula1>$A$52:$A$54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59"/>
  <sheetViews>
    <sheetView showFormulas="false" showGridLines="true" showRowColHeaders="true" showZeros="true" rightToLeft="false" tabSelected="false" showOutlineSymbols="true" defaultGridColor="true" view="normal" topLeftCell="A24" colorId="64" zoomScale="125" zoomScaleNormal="125" zoomScalePageLayoutView="100" workbookViewId="0">
      <selection pane="topLeft" activeCell="C36" activeCellId="0" sqref="C36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60.62"/>
    <col collapsed="false" customWidth="true" hidden="false" outlineLevel="0" max="5" min="4" style="1" width="15.62"/>
    <col collapsed="false" customWidth="true" hidden="false" outlineLevel="0" max="6" min="6" style="1" width="17.62"/>
    <col collapsed="false" customWidth="true" hidden="false" outlineLevel="0" max="8" min="7" style="1" width="3.62"/>
    <col collapsed="false" customWidth="false" hidden="true" outlineLevel="0" max="15" min="9" style="1" width="9.1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810"/>
      <c r="B1" s="811"/>
      <c r="C1" s="811"/>
      <c r="D1" s="811"/>
      <c r="E1" s="811"/>
      <c r="F1" s="811"/>
      <c r="G1" s="811"/>
      <c r="H1" s="811"/>
      <c r="I1" s="811"/>
      <c r="J1" s="811"/>
      <c r="K1" s="811"/>
      <c r="L1" s="811"/>
      <c r="M1" s="811"/>
      <c r="N1" s="811"/>
      <c r="O1" s="811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811"/>
    </row>
    <row r="2" customFormat="false" ht="14.25" hidden="false" customHeight="false" outlineLevel="0" collapsed="false">
      <c r="A2" s="811"/>
      <c r="B2" s="812"/>
      <c r="C2" s="81" t="str">
        <f aca="false">Contents!B59</f>
        <v>Version: AS L 6 LARGE locked LOCAL</v>
      </c>
      <c r="D2" s="813"/>
      <c r="E2" s="812"/>
      <c r="F2" s="812"/>
      <c r="G2" s="812"/>
      <c r="H2" s="811"/>
      <c r="I2" s="811"/>
      <c r="J2" s="811"/>
      <c r="K2" s="811"/>
      <c r="L2" s="811"/>
      <c r="M2" s="811"/>
      <c r="N2" s="811"/>
      <c r="O2" s="811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811"/>
    </row>
    <row r="3" customFormat="false" ht="14.25" hidden="false" customHeight="false" outlineLevel="0" collapsed="false">
      <c r="A3" s="814"/>
      <c r="B3" s="815"/>
      <c r="C3" s="816" t="str">
        <f aca="false">Contents!$E$3</f>
        <v>THE SOCIETY FOR CREATIVE ANACHRONISM, INC.</v>
      </c>
      <c r="D3" s="816"/>
      <c r="E3" s="816"/>
      <c r="F3" s="816"/>
      <c r="G3" s="815"/>
      <c r="H3" s="814"/>
      <c r="I3" s="814"/>
      <c r="J3" s="814"/>
      <c r="K3" s="814"/>
      <c r="L3" s="814"/>
      <c r="M3" s="814"/>
      <c r="N3" s="814"/>
      <c r="O3" s="81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814"/>
    </row>
    <row r="4" customFormat="false" ht="14.25" hidden="false" customHeight="false" outlineLevel="0" collapsed="false">
      <c r="A4" s="811"/>
      <c r="B4" s="815"/>
      <c r="C4" s="816" t="str">
        <f aca="false">Contents!$E$4</f>
        <v>FINANCIAL REPORT</v>
      </c>
      <c r="D4" s="816"/>
      <c r="E4" s="816"/>
      <c r="F4" s="816"/>
      <c r="G4" s="815"/>
      <c r="H4" s="811"/>
      <c r="I4" s="811"/>
      <c r="J4" s="811"/>
      <c r="K4" s="811"/>
      <c r="L4" s="811"/>
      <c r="M4" s="811"/>
      <c r="N4" s="811"/>
      <c r="O4" s="811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811"/>
    </row>
    <row r="5" customFormat="false" ht="14.25" hidden="false" customHeight="false" outlineLevel="0" collapsed="false">
      <c r="A5" s="811"/>
      <c r="B5" s="812"/>
      <c r="C5" s="817"/>
      <c r="D5" s="817"/>
      <c r="E5" s="812"/>
      <c r="F5" s="812"/>
      <c r="G5" s="812"/>
      <c r="H5" s="811"/>
      <c r="I5" s="811"/>
      <c r="J5" s="811"/>
      <c r="K5" s="811"/>
      <c r="L5" s="811"/>
      <c r="M5" s="811"/>
      <c r="N5" s="811"/>
      <c r="O5" s="811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811"/>
    </row>
    <row r="6" customFormat="false" ht="14.25" hidden="false" customHeight="false" outlineLevel="0" collapsed="false">
      <c r="A6" s="818"/>
      <c r="B6" s="812"/>
      <c r="C6" s="819" t="str">
        <f aca="false">Contents!B58</f>
        <v>Branch:   SCA, Inc.- Middle Kingdom                                               Period:  1/01/2025             to     12/31/2025            .</v>
      </c>
      <c r="D6" s="819"/>
      <c r="E6" s="819"/>
      <c r="F6" s="819"/>
      <c r="G6" s="812"/>
      <c r="H6" s="818"/>
      <c r="I6" s="818"/>
      <c r="J6" s="818"/>
      <c r="K6" s="818"/>
      <c r="L6" s="818"/>
      <c r="M6" s="818"/>
      <c r="N6" s="818"/>
      <c r="O6" s="818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818"/>
    </row>
    <row r="7" customFormat="false" ht="14.25" hidden="false" customHeight="false" outlineLevel="0" collapsed="false">
      <c r="A7" s="811"/>
      <c r="B7" s="820"/>
      <c r="C7" s="821"/>
      <c r="D7" s="821"/>
      <c r="E7" s="820"/>
      <c r="F7" s="820"/>
      <c r="G7" s="820"/>
      <c r="H7" s="811"/>
      <c r="I7" s="811"/>
      <c r="J7" s="811"/>
      <c r="K7" s="811"/>
      <c r="L7" s="811"/>
      <c r="M7" s="811"/>
      <c r="N7" s="811"/>
      <c r="O7" s="811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811"/>
    </row>
    <row r="8" customFormat="false" ht="17.35" hidden="false" customHeight="false" outlineLevel="0" collapsed="false">
      <c r="A8" s="811"/>
      <c r="B8" s="812"/>
      <c r="C8" s="822" t="s">
        <v>584</v>
      </c>
      <c r="D8" s="822"/>
      <c r="E8" s="822"/>
      <c r="F8" s="822"/>
      <c r="G8" s="812"/>
      <c r="H8" s="811"/>
      <c r="I8" s="811"/>
      <c r="J8" s="811"/>
      <c r="K8" s="811"/>
      <c r="L8" s="811"/>
      <c r="M8" s="811"/>
      <c r="N8" s="811"/>
      <c r="O8" s="811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811"/>
    </row>
    <row r="9" customFormat="false" ht="17.35" hidden="false" customHeight="false" outlineLevel="0" collapsed="false">
      <c r="A9" s="823"/>
      <c r="B9" s="812"/>
      <c r="C9" s="824"/>
      <c r="D9" s="824"/>
      <c r="E9" s="817"/>
      <c r="F9" s="817"/>
      <c r="G9" s="812"/>
      <c r="H9" s="823"/>
      <c r="I9" s="823"/>
      <c r="J9" s="823"/>
      <c r="K9" s="823"/>
      <c r="L9" s="823"/>
      <c r="M9" s="823"/>
      <c r="N9" s="823"/>
      <c r="O9" s="823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823"/>
    </row>
    <row r="10" customFormat="false" ht="14.25" hidden="false" customHeight="false" outlineLevel="0" collapsed="false">
      <c r="A10" s="811"/>
      <c r="B10" s="820"/>
      <c r="C10" s="825" t="s">
        <v>585</v>
      </c>
      <c r="D10" s="825"/>
      <c r="E10" s="825"/>
      <c r="F10" s="825"/>
      <c r="G10" s="820"/>
      <c r="H10" s="811"/>
      <c r="I10" s="811"/>
      <c r="J10" s="811"/>
      <c r="K10" s="811"/>
      <c r="L10" s="811"/>
      <c r="M10" s="811"/>
      <c r="N10" s="811"/>
      <c r="O10" s="811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811"/>
    </row>
    <row r="11" customFormat="false" ht="14.25" hidden="false" customHeight="false" outlineLevel="0" collapsed="false">
      <c r="A11" s="811"/>
      <c r="B11" s="820"/>
      <c r="C11" s="821"/>
      <c r="D11" s="821"/>
      <c r="E11" s="820"/>
      <c r="F11" s="820"/>
      <c r="G11" s="820"/>
      <c r="H11" s="811"/>
      <c r="I11" s="811"/>
      <c r="J11" s="811"/>
      <c r="K11" s="811"/>
      <c r="L11" s="811"/>
      <c r="M11" s="811"/>
      <c r="N11" s="811"/>
      <c r="O11" s="811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811"/>
    </row>
    <row r="12" customFormat="false" ht="14.25" hidden="false" customHeight="false" outlineLevel="0" collapsed="false">
      <c r="A12" s="811"/>
      <c r="B12" s="812"/>
      <c r="C12" s="826" t="s">
        <v>586</v>
      </c>
      <c r="D12" s="817"/>
      <c r="E12" s="812"/>
      <c r="F12" s="812"/>
      <c r="G12" s="812"/>
      <c r="H12" s="811"/>
      <c r="I12" s="811"/>
      <c r="J12" s="811"/>
      <c r="K12" s="811"/>
      <c r="L12" s="811"/>
      <c r="M12" s="811"/>
      <c r="N12" s="811"/>
      <c r="O12" s="811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811"/>
    </row>
    <row r="13" customFormat="false" ht="14.25" hidden="false" customHeight="false" outlineLevel="0" collapsed="false">
      <c r="A13" s="811"/>
      <c r="B13" s="827"/>
      <c r="C13" s="828" t="s">
        <v>587</v>
      </c>
      <c r="D13" s="829" t="s">
        <v>588</v>
      </c>
      <c r="E13" s="829" t="s">
        <v>589</v>
      </c>
      <c r="F13" s="830" t="s">
        <v>416</v>
      </c>
      <c r="G13" s="827"/>
      <c r="H13" s="811"/>
      <c r="I13" s="811"/>
      <c r="J13" s="811"/>
      <c r="K13" s="811"/>
      <c r="L13" s="811"/>
      <c r="M13" s="811"/>
      <c r="N13" s="811"/>
      <c r="O13" s="811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811"/>
    </row>
    <row r="14" customFormat="false" ht="14.25" hidden="false" customHeight="false" outlineLevel="0" collapsed="false">
      <c r="A14" s="811"/>
      <c r="B14" s="812"/>
      <c r="C14" s="831" t="s">
        <v>590</v>
      </c>
      <c r="D14" s="832" t="s">
        <v>591</v>
      </c>
      <c r="E14" s="833" t="n">
        <v>45658</v>
      </c>
      <c r="F14" s="834" t="n">
        <v>458.11</v>
      </c>
      <c r="G14" s="812"/>
      <c r="H14" s="811"/>
      <c r="I14" s="811"/>
      <c r="J14" s="811"/>
      <c r="K14" s="811"/>
      <c r="L14" s="811"/>
      <c r="M14" s="811"/>
      <c r="N14" s="811"/>
      <c r="O14" s="811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811"/>
    </row>
    <row r="15" customFormat="false" ht="14.25" hidden="false" customHeight="false" outlineLevel="0" collapsed="false">
      <c r="A15" s="811"/>
      <c r="B15" s="812"/>
      <c r="C15" s="835" t="s">
        <v>592</v>
      </c>
      <c r="D15" s="836" t="s">
        <v>593</v>
      </c>
      <c r="E15" s="837" t="n">
        <v>45676</v>
      </c>
      <c r="F15" s="838" t="n">
        <v>320</v>
      </c>
      <c r="G15" s="812"/>
      <c r="H15" s="811"/>
      <c r="I15" s="811"/>
      <c r="J15" s="811"/>
      <c r="K15" s="811"/>
      <c r="L15" s="811"/>
      <c r="M15" s="811"/>
      <c r="N15" s="811"/>
      <c r="O15" s="811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811"/>
    </row>
    <row r="16" customFormat="false" ht="14.25" hidden="false" customHeight="false" outlineLevel="0" collapsed="false">
      <c r="A16" s="811"/>
      <c r="B16" s="812"/>
      <c r="C16" s="835" t="s">
        <v>594</v>
      </c>
      <c r="D16" s="836" t="s">
        <v>595</v>
      </c>
      <c r="E16" s="837" t="n">
        <v>1012025</v>
      </c>
      <c r="F16" s="838" t="n">
        <v>90</v>
      </c>
      <c r="G16" s="812"/>
      <c r="H16" s="811"/>
      <c r="I16" s="811"/>
      <c r="J16" s="811"/>
      <c r="K16" s="811"/>
      <c r="L16" s="811"/>
      <c r="M16" s="811"/>
      <c r="N16" s="811"/>
      <c r="O16" s="811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811"/>
    </row>
    <row r="17" customFormat="false" ht="14.25" hidden="false" customHeight="false" outlineLevel="0" collapsed="false">
      <c r="A17" s="811"/>
      <c r="B17" s="812"/>
      <c r="C17" s="835" t="s">
        <v>596</v>
      </c>
      <c r="D17" s="839" t="s">
        <v>597</v>
      </c>
      <c r="E17" s="837"/>
      <c r="F17" s="838" t="n">
        <v>418.63</v>
      </c>
      <c r="G17" s="812"/>
      <c r="H17" s="811"/>
      <c r="I17" s="811"/>
      <c r="J17" s="811"/>
      <c r="K17" s="811"/>
      <c r="L17" s="811"/>
      <c r="M17" s="811"/>
      <c r="N17" s="811"/>
      <c r="O17" s="811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811"/>
    </row>
    <row r="18" customFormat="false" ht="14.25" hidden="false" customHeight="false" outlineLevel="0" collapsed="false">
      <c r="A18" s="811"/>
      <c r="B18" s="812"/>
      <c r="C18" s="835" t="s">
        <v>598</v>
      </c>
      <c r="D18" s="839" t="s">
        <v>599</v>
      </c>
      <c r="E18" s="837" t="n">
        <v>45700</v>
      </c>
      <c r="F18" s="838" t="n">
        <v>110</v>
      </c>
      <c r="G18" s="812"/>
      <c r="H18" s="811"/>
      <c r="I18" s="811"/>
      <c r="J18" s="811"/>
      <c r="K18" s="811"/>
      <c r="L18" s="811"/>
      <c r="M18" s="811"/>
      <c r="N18" s="811"/>
      <c r="O18" s="811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811"/>
    </row>
    <row r="19" customFormat="false" ht="14.25" hidden="false" customHeight="false" outlineLevel="0" collapsed="false">
      <c r="A19" s="811"/>
      <c r="B19" s="812"/>
      <c r="C19" s="835" t="s">
        <v>600</v>
      </c>
      <c r="D19" s="839" t="n">
        <v>164</v>
      </c>
      <c r="E19" s="837" t="n">
        <v>45714</v>
      </c>
      <c r="F19" s="838" t="n">
        <v>60</v>
      </c>
      <c r="G19" s="812"/>
      <c r="H19" s="811"/>
      <c r="I19" s="811"/>
      <c r="J19" s="811"/>
      <c r="K19" s="811"/>
      <c r="L19" s="811"/>
      <c r="M19" s="811"/>
      <c r="N19" s="811"/>
      <c r="O19" s="811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811"/>
    </row>
    <row r="20" customFormat="false" ht="14.25" hidden="false" customHeight="false" outlineLevel="0" collapsed="false">
      <c r="A20" s="811"/>
      <c r="B20" s="812"/>
      <c r="C20" s="835" t="s">
        <v>601</v>
      </c>
      <c r="D20" s="839" t="n">
        <v>212</v>
      </c>
      <c r="E20" s="840" t="n">
        <v>45725</v>
      </c>
      <c r="F20" s="838" t="n">
        <v>140</v>
      </c>
      <c r="G20" s="812"/>
      <c r="H20" s="811"/>
      <c r="I20" s="811"/>
      <c r="J20" s="811"/>
      <c r="K20" s="811"/>
      <c r="L20" s="811"/>
      <c r="M20" s="811"/>
      <c r="N20" s="811"/>
      <c r="O20" s="811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811"/>
    </row>
    <row r="21" customFormat="false" ht="14.25" hidden="false" customHeight="false" outlineLevel="0" collapsed="false">
      <c r="A21" s="811"/>
      <c r="B21" s="812"/>
      <c r="C21" s="835" t="s">
        <v>602</v>
      </c>
      <c r="D21" s="839" t="n">
        <v>1002</v>
      </c>
      <c r="E21" s="840" t="n">
        <v>45742</v>
      </c>
      <c r="F21" s="838" t="n">
        <v>130</v>
      </c>
      <c r="G21" s="812"/>
      <c r="H21" s="811"/>
      <c r="I21" s="811"/>
      <c r="J21" s="811"/>
      <c r="K21" s="811"/>
      <c r="L21" s="811"/>
      <c r="M21" s="811"/>
      <c r="N21" s="811"/>
      <c r="O21" s="811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811"/>
    </row>
    <row r="22" customFormat="false" ht="14.25" hidden="false" customHeight="false" outlineLevel="0" collapsed="false">
      <c r="A22" s="811"/>
      <c r="B22" s="812"/>
      <c r="C22" s="835" t="s">
        <v>603</v>
      </c>
      <c r="D22" s="839" t="s">
        <v>604</v>
      </c>
      <c r="E22" s="840" t="n">
        <v>45762</v>
      </c>
      <c r="F22" s="838" t="n">
        <v>160</v>
      </c>
      <c r="G22" s="812"/>
      <c r="H22" s="811"/>
      <c r="I22" s="811"/>
      <c r="J22" s="811"/>
      <c r="K22" s="811"/>
      <c r="L22" s="811"/>
      <c r="M22" s="811"/>
      <c r="N22" s="811"/>
      <c r="O22" s="811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811"/>
    </row>
    <row r="23" customFormat="false" ht="14.25" hidden="false" customHeight="false" outlineLevel="0" collapsed="false">
      <c r="A23" s="811"/>
      <c r="B23" s="812"/>
      <c r="C23" s="835" t="s">
        <v>605</v>
      </c>
      <c r="D23" s="839" t="s">
        <v>606</v>
      </c>
      <c r="E23" s="840" t="n">
        <v>45760</v>
      </c>
      <c r="F23" s="838" t="n">
        <v>380</v>
      </c>
      <c r="G23" s="812"/>
      <c r="H23" s="811"/>
      <c r="I23" s="811"/>
      <c r="J23" s="811"/>
      <c r="K23" s="811"/>
      <c r="L23" s="811"/>
      <c r="M23" s="811"/>
      <c r="N23" s="811"/>
      <c r="O23" s="811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811"/>
    </row>
    <row r="24" customFormat="false" ht="14.25" hidden="false" customHeight="false" outlineLevel="0" collapsed="false">
      <c r="A24" s="811"/>
      <c r="B24" s="812"/>
      <c r="C24" s="835" t="s">
        <v>607</v>
      </c>
      <c r="D24" s="836" t="s">
        <v>608</v>
      </c>
      <c r="E24" s="840" t="n">
        <v>45773</v>
      </c>
      <c r="F24" s="838" t="n">
        <v>400</v>
      </c>
      <c r="G24" s="812"/>
      <c r="H24" s="811"/>
      <c r="I24" s="811"/>
      <c r="J24" s="811"/>
      <c r="K24" s="811"/>
      <c r="L24" s="811"/>
      <c r="M24" s="811"/>
      <c r="N24" s="811"/>
      <c r="O24" s="811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811"/>
    </row>
    <row r="25" customFormat="false" ht="14.25" hidden="false" customHeight="false" outlineLevel="0" collapsed="false">
      <c r="A25" s="811"/>
      <c r="B25" s="812"/>
      <c r="C25" s="835" t="s">
        <v>607</v>
      </c>
      <c r="D25" s="836" t="s">
        <v>609</v>
      </c>
      <c r="E25" s="840" t="n">
        <v>45778</v>
      </c>
      <c r="F25" s="838" t="n">
        <v>767.49</v>
      </c>
      <c r="G25" s="812"/>
      <c r="H25" s="811"/>
      <c r="I25" s="811"/>
      <c r="J25" s="811"/>
      <c r="K25" s="811"/>
      <c r="L25" s="811"/>
      <c r="M25" s="811"/>
      <c r="N25" s="811"/>
      <c r="O25" s="811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811"/>
    </row>
    <row r="26" customFormat="false" ht="14.25" hidden="false" customHeight="false" outlineLevel="0" collapsed="false">
      <c r="A26" s="811"/>
      <c r="B26" s="812"/>
      <c r="C26" s="835" t="s">
        <v>592</v>
      </c>
      <c r="D26" s="836" t="s">
        <v>610</v>
      </c>
      <c r="E26" s="840" t="n">
        <v>45791</v>
      </c>
      <c r="F26" s="838" t="n">
        <v>320</v>
      </c>
      <c r="G26" s="812"/>
      <c r="H26" s="811"/>
      <c r="I26" s="811"/>
      <c r="J26" s="811"/>
      <c r="K26" s="811"/>
      <c r="L26" s="811"/>
      <c r="M26" s="811"/>
      <c r="N26" s="811"/>
      <c r="O26" s="811"/>
      <c r="P26" s="79" t="s">
        <v>174</v>
      </c>
      <c r="Q26" s="78"/>
      <c r="R26" s="78"/>
      <c r="S26" s="79" t="s">
        <v>83</v>
      </c>
      <c r="T26" s="79" t="s">
        <v>174</v>
      </c>
      <c r="U26" s="811"/>
    </row>
    <row r="27" customFormat="false" ht="14.25" hidden="false" customHeight="false" outlineLevel="0" collapsed="false">
      <c r="A27" s="811"/>
      <c r="B27" s="812"/>
      <c r="C27" s="835" t="s">
        <v>611</v>
      </c>
      <c r="D27" s="836" t="s">
        <v>612</v>
      </c>
      <c r="E27" s="840" t="n">
        <v>45787</v>
      </c>
      <c r="F27" s="838" t="n">
        <v>140</v>
      </c>
      <c r="G27" s="812"/>
      <c r="H27" s="811"/>
      <c r="I27" s="811"/>
      <c r="J27" s="811"/>
      <c r="K27" s="811"/>
      <c r="L27" s="811"/>
      <c r="M27" s="811"/>
      <c r="N27" s="811"/>
      <c r="O27" s="811"/>
      <c r="P27" s="79" t="s">
        <v>177</v>
      </c>
      <c r="Q27" s="78"/>
      <c r="R27" s="78"/>
      <c r="S27" s="79" t="s">
        <v>85</v>
      </c>
      <c r="T27" s="79" t="s">
        <v>76</v>
      </c>
      <c r="U27" s="811"/>
    </row>
    <row r="28" customFormat="false" ht="14.25" hidden="false" customHeight="false" outlineLevel="0" collapsed="false">
      <c r="A28" s="811"/>
      <c r="B28" s="812"/>
      <c r="C28" s="835" t="s">
        <v>592</v>
      </c>
      <c r="D28" s="836" t="s">
        <v>613</v>
      </c>
      <c r="E28" s="840" t="n">
        <v>45798</v>
      </c>
      <c r="F28" s="838" t="n">
        <v>925.79</v>
      </c>
      <c r="G28" s="812"/>
      <c r="H28" s="811"/>
      <c r="I28" s="811"/>
      <c r="J28" s="811"/>
      <c r="K28" s="811"/>
      <c r="L28" s="811"/>
      <c r="M28" s="811"/>
      <c r="N28" s="811"/>
      <c r="O28" s="811"/>
      <c r="P28" s="79" t="s">
        <v>178</v>
      </c>
      <c r="Q28" s="78"/>
      <c r="R28" s="78"/>
      <c r="S28" s="79" t="s">
        <v>86</v>
      </c>
      <c r="T28" s="79" t="s">
        <v>78</v>
      </c>
      <c r="U28" s="811"/>
    </row>
    <row r="29" customFormat="false" ht="14.25" hidden="false" customHeight="false" outlineLevel="0" collapsed="false">
      <c r="A29" s="811"/>
      <c r="B29" s="812"/>
      <c r="C29" s="835" t="s">
        <v>614</v>
      </c>
      <c r="D29" s="836" t="s">
        <v>615</v>
      </c>
      <c r="E29" s="840" t="n">
        <v>45792</v>
      </c>
      <c r="F29" s="838" t="n">
        <v>170</v>
      </c>
      <c r="G29" s="812"/>
      <c r="H29" s="811"/>
      <c r="I29" s="811"/>
      <c r="J29" s="811"/>
      <c r="K29" s="811"/>
      <c r="L29" s="811"/>
      <c r="M29" s="811"/>
      <c r="N29" s="811"/>
      <c r="O29" s="811"/>
      <c r="P29" s="79" t="s">
        <v>179</v>
      </c>
      <c r="Q29" s="78"/>
      <c r="R29" s="78"/>
      <c r="S29" s="79" t="s">
        <v>87</v>
      </c>
      <c r="T29" s="79" t="s">
        <v>79</v>
      </c>
      <c r="U29" s="811"/>
    </row>
    <row r="30" customFormat="false" ht="14.25" hidden="false" customHeight="false" outlineLevel="0" collapsed="false">
      <c r="A30" s="811"/>
      <c r="B30" s="812"/>
      <c r="C30" s="835" t="s">
        <v>590</v>
      </c>
      <c r="D30" s="836" t="s">
        <v>616</v>
      </c>
      <c r="E30" s="840" t="n">
        <v>45801</v>
      </c>
      <c r="F30" s="838" t="n">
        <v>130</v>
      </c>
      <c r="G30" s="812"/>
      <c r="H30" s="811"/>
      <c r="I30" s="811"/>
      <c r="J30" s="811"/>
      <c r="K30" s="811"/>
      <c r="L30" s="811"/>
      <c r="M30" s="811"/>
      <c r="N30" s="811"/>
      <c r="O30" s="811"/>
      <c r="P30" s="79" t="s">
        <v>180</v>
      </c>
      <c r="Q30" s="78"/>
      <c r="R30" s="78"/>
      <c r="S30" s="79" t="s">
        <v>91</v>
      </c>
      <c r="T30" s="79" t="s">
        <v>81</v>
      </c>
      <c r="U30" s="811"/>
    </row>
    <row r="31" customFormat="false" ht="14.25" hidden="false" customHeight="false" outlineLevel="0" collapsed="false">
      <c r="A31" s="811"/>
      <c r="B31" s="812"/>
      <c r="C31" s="835" t="s">
        <v>617</v>
      </c>
      <c r="D31" s="836" t="s">
        <v>618</v>
      </c>
      <c r="E31" s="840" t="n">
        <v>45803</v>
      </c>
      <c r="F31" s="838" t="n">
        <v>410</v>
      </c>
      <c r="G31" s="812"/>
      <c r="H31" s="811"/>
      <c r="I31" s="811"/>
      <c r="J31" s="811"/>
      <c r="K31" s="811"/>
      <c r="L31" s="811"/>
      <c r="M31" s="811"/>
      <c r="N31" s="811"/>
      <c r="O31" s="811"/>
      <c r="P31" s="79" t="s">
        <v>181</v>
      </c>
      <c r="Q31" s="78"/>
      <c r="R31" s="78"/>
      <c r="S31" s="78"/>
      <c r="T31" s="79" t="s">
        <v>83</v>
      </c>
      <c r="U31" s="811"/>
    </row>
    <row r="32" customFormat="false" ht="14.25" hidden="false" customHeight="false" outlineLevel="0" collapsed="false">
      <c r="A32" s="811"/>
      <c r="B32" s="812"/>
      <c r="C32" s="835" t="s">
        <v>617</v>
      </c>
      <c r="D32" s="836" t="s">
        <v>619</v>
      </c>
      <c r="E32" s="837" t="n">
        <v>45805</v>
      </c>
      <c r="F32" s="838" t="n">
        <v>2459.4</v>
      </c>
      <c r="G32" s="812"/>
      <c r="H32" s="811"/>
      <c r="I32" s="811"/>
      <c r="J32" s="811"/>
      <c r="K32" s="811"/>
      <c r="L32" s="811"/>
      <c r="M32" s="811"/>
      <c r="N32" s="811"/>
      <c r="O32" s="811"/>
      <c r="P32" s="79" t="s">
        <v>76</v>
      </c>
      <c r="Q32" s="78"/>
      <c r="R32" s="78"/>
      <c r="S32" s="78"/>
      <c r="T32" s="79" t="s">
        <v>85</v>
      </c>
      <c r="U32" s="811"/>
    </row>
    <row r="33" customFormat="false" ht="14.25" hidden="false" customHeight="false" outlineLevel="0" collapsed="false">
      <c r="A33" s="811"/>
      <c r="B33" s="812"/>
      <c r="C33" s="835" t="s">
        <v>620</v>
      </c>
      <c r="D33" s="836" t="s">
        <v>621</v>
      </c>
      <c r="E33" s="837" t="n">
        <v>45816</v>
      </c>
      <c r="F33" s="838" t="n">
        <v>170</v>
      </c>
      <c r="G33" s="812"/>
      <c r="H33" s="811"/>
      <c r="I33" s="811"/>
      <c r="J33" s="811"/>
      <c r="K33" s="811"/>
      <c r="L33" s="811"/>
      <c r="M33" s="811"/>
      <c r="N33" s="811"/>
      <c r="O33" s="811"/>
      <c r="P33" s="79" t="s">
        <v>78</v>
      </c>
      <c r="Q33" s="78"/>
      <c r="R33" s="78"/>
      <c r="S33" s="78"/>
      <c r="T33" s="79" t="s">
        <v>86</v>
      </c>
      <c r="U33" s="811"/>
    </row>
    <row r="34" customFormat="false" ht="14.25" hidden="false" customHeight="false" outlineLevel="0" collapsed="false">
      <c r="A34" s="811"/>
      <c r="B34" s="812"/>
      <c r="C34" s="835" t="s">
        <v>592</v>
      </c>
      <c r="D34" s="836" t="s">
        <v>622</v>
      </c>
      <c r="E34" s="837" t="n">
        <v>45819</v>
      </c>
      <c r="F34" s="838" t="n">
        <v>480</v>
      </c>
      <c r="G34" s="812"/>
      <c r="H34" s="811"/>
      <c r="I34" s="811"/>
      <c r="J34" s="811"/>
      <c r="K34" s="811"/>
      <c r="L34" s="811"/>
      <c r="M34" s="811"/>
      <c r="N34" s="811"/>
      <c r="O34" s="811"/>
      <c r="P34" s="79" t="s">
        <v>79</v>
      </c>
      <c r="Q34" s="78"/>
      <c r="R34" s="78"/>
      <c r="S34" s="78"/>
      <c r="T34" s="79" t="s">
        <v>87</v>
      </c>
      <c r="U34" s="811"/>
    </row>
    <row r="35" customFormat="false" ht="14.25" hidden="false" customHeight="false" outlineLevel="0" collapsed="false">
      <c r="A35" s="811"/>
      <c r="B35" s="812"/>
      <c r="C35" s="835" t="s">
        <v>623</v>
      </c>
      <c r="D35" s="836" t="s">
        <v>624</v>
      </c>
      <c r="E35" s="837" t="n">
        <v>45809</v>
      </c>
      <c r="F35" s="838" t="n">
        <v>200</v>
      </c>
      <c r="G35" s="812"/>
      <c r="H35" s="811"/>
      <c r="I35" s="811"/>
      <c r="J35" s="811"/>
      <c r="K35" s="811"/>
      <c r="L35" s="811"/>
      <c r="M35" s="811"/>
      <c r="N35" s="811"/>
      <c r="O35" s="811"/>
      <c r="P35" s="79" t="s">
        <v>81</v>
      </c>
      <c r="Q35" s="78"/>
      <c r="R35" s="78"/>
      <c r="S35" s="78"/>
      <c r="T35" s="79" t="s">
        <v>89</v>
      </c>
      <c r="U35" s="811"/>
    </row>
    <row r="36" customFormat="false" ht="14.25" hidden="false" customHeight="false" outlineLevel="0" collapsed="false">
      <c r="A36" s="811"/>
      <c r="B36" s="812"/>
      <c r="C36" s="835" t="s">
        <v>625</v>
      </c>
      <c r="D36" s="836" t="s">
        <v>626</v>
      </c>
      <c r="E36" s="837" t="n">
        <v>45833</v>
      </c>
      <c r="F36" s="838" t="n">
        <v>80</v>
      </c>
      <c r="G36" s="812"/>
      <c r="H36" s="811"/>
      <c r="I36" s="811"/>
      <c r="J36" s="811"/>
      <c r="K36" s="811"/>
      <c r="L36" s="811"/>
      <c r="M36" s="811"/>
      <c r="N36" s="811"/>
      <c r="O36" s="811"/>
      <c r="P36" s="79" t="s">
        <v>83</v>
      </c>
      <c r="Q36" s="78"/>
      <c r="R36" s="78"/>
      <c r="S36" s="78"/>
      <c r="T36" s="79" t="s">
        <v>90</v>
      </c>
      <c r="U36" s="811"/>
    </row>
    <row r="37" customFormat="false" ht="14.25" hidden="false" customHeight="false" outlineLevel="0" collapsed="false">
      <c r="A37" s="811"/>
      <c r="B37" s="812"/>
      <c r="C37" s="835" t="s">
        <v>627</v>
      </c>
      <c r="D37" s="836"/>
      <c r="E37" s="837"/>
      <c r="F37" s="838" t="n">
        <f aca="false">FreeForm!D75</f>
        <v>9892.94</v>
      </c>
      <c r="G37" s="812"/>
      <c r="H37" s="811"/>
      <c r="I37" s="811"/>
      <c r="J37" s="811"/>
      <c r="K37" s="811"/>
      <c r="L37" s="811"/>
      <c r="M37" s="811"/>
      <c r="N37" s="811"/>
      <c r="O37" s="811"/>
      <c r="P37" s="79" t="s">
        <v>85</v>
      </c>
      <c r="Q37" s="78"/>
      <c r="R37" s="78"/>
      <c r="S37" s="78"/>
      <c r="T37" s="79" t="s">
        <v>192</v>
      </c>
      <c r="U37" s="811"/>
    </row>
    <row r="38" customFormat="false" ht="14.25" hidden="false" customHeight="false" outlineLevel="0" collapsed="false">
      <c r="A38" s="811"/>
      <c r="B38" s="812"/>
      <c r="C38" s="841"/>
      <c r="D38" s="842"/>
      <c r="E38" s="843" t="s">
        <v>628</v>
      </c>
      <c r="F38" s="844" t="n">
        <f aca="false">SUM(F14:F37)</f>
        <v>18812.36</v>
      </c>
      <c r="G38" s="812"/>
      <c r="H38" s="811"/>
      <c r="I38" s="811"/>
      <c r="J38" s="811"/>
      <c r="K38" s="811"/>
      <c r="L38" s="811"/>
      <c r="M38" s="811"/>
      <c r="N38" s="811"/>
      <c r="O38" s="811"/>
      <c r="P38" s="79" t="s">
        <v>86</v>
      </c>
      <c r="Q38" s="78"/>
      <c r="R38" s="78"/>
      <c r="S38" s="78"/>
      <c r="T38" s="79" t="s">
        <v>91</v>
      </c>
      <c r="U38" s="811"/>
    </row>
    <row r="39" customFormat="false" ht="14.25" hidden="false" customHeight="false" outlineLevel="0" collapsed="false">
      <c r="A39" s="811"/>
      <c r="B39" s="812"/>
      <c r="C39" s="812"/>
      <c r="D39" s="812"/>
      <c r="E39" s="845"/>
      <c r="F39" s="846"/>
      <c r="G39" s="812"/>
      <c r="H39" s="811"/>
      <c r="I39" s="811"/>
      <c r="J39" s="811"/>
      <c r="K39" s="811"/>
      <c r="L39" s="811"/>
      <c r="M39" s="811"/>
      <c r="N39" s="811"/>
      <c r="O39" s="811"/>
      <c r="P39" s="79" t="s">
        <v>87</v>
      </c>
      <c r="Q39" s="78"/>
      <c r="R39" s="78"/>
      <c r="S39" s="78"/>
      <c r="T39" s="79"/>
      <c r="U39" s="811"/>
    </row>
    <row r="40" customFormat="false" ht="14.25" hidden="false" customHeight="false" outlineLevel="0" collapsed="false">
      <c r="A40" s="811"/>
      <c r="B40" s="812"/>
      <c r="C40" s="847" t="s">
        <v>629</v>
      </c>
      <c r="D40" s="812"/>
      <c r="E40" s="845"/>
      <c r="F40" s="846"/>
      <c r="G40" s="812"/>
      <c r="H40" s="811"/>
      <c r="I40" s="811"/>
      <c r="J40" s="811"/>
      <c r="K40" s="811"/>
      <c r="L40" s="811"/>
      <c r="M40" s="811"/>
      <c r="N40" s="811"/>
      <c r="O40" s="811"/>
      <c r="P40" s="79" t="s">
        <v>89</v>
      </c>
      <c r="Q40" s="78"/>
      <c r="R40" s="78"/>
      <c r="S40" s="78"/>
      <c r="T40" s="78"/>
      <c r="U40" s="811"/>
    </row>
    <row r="41" customFormat="false" ht="26.45" hidden="false" customHeight="false" outlineLevel="0" collapsed="false">
      <c r="A41" s="811"/>
      <c r="B41" s="812"/>
      <c r="C41" s="848" t="s">
        <v>630</v>
      </c>
      <c r="D41" s="829" t="s">
        <v>588</v>
      </c>
      <c r="E41" s="829" t="s">
        <v>589</v>
      </c>
      <c r="F41" s="830" t="s">
        <v>416</v>
      </c>
      <c r="G41" s="812"/>
      <c r="H41" s="811"/>
      <c r="I41" s="811"/>
      <c r="J41" s="811"/>
      <c r="K41" s="811"/>
      <c r="L41" s="811"/>
      <c r="M41" s="811"/>
      <c r="N41" s="811"/>
      <c r="O41" s="811"/>
      <c r="P41" s="79" t="s">
        <v>90</v>
      </c>
      <c r="Q41" s="78"/>
      <c r="R41" s="78"/>
      <c r="S41" s="78"/>
      <c r="T41" s="117"/>
      <c r="U41" s="811"/>
    </row>
    <row r="42" customFormat="false" ht="14.25" hidden="false" customHeight="false" outlineLevel="0" collapsed="false">
      <c r="A42" s="811"/>
      <c r="B42" s="812"/>
      <c r="C42" s="831" t="s">
        <v>631</v>
      </c>
      <c r="D42" s="832" t="s">
        <v>632</v>
      </c>
      <c r="E42" s="833" t="n">
        <v>45930</v>
      </c>
      <c r="F42" s="834" t="n">
        <v>10910.76</v>
      </c>
      <c r="G42" s="812"/>
      <c r="H42" s="811"/>
      <c r="I42" s="811"/>
      <c r="J42" s="811"/>
      <c r="K42" s="811"/>
      <c r="L42" s="811"/>
      <c r="M42" s="811"/>
      <c r="N42" s="811"/>
      <c r="O42" s="811"/>
      <c r="P42" s="79" t="s">
        <v>192</v>
      </c>
      <c r="Q42" s="78"/>
      <c r="R42" s="78"/>
      <c r="S42" s="78"/>
      <c r="T42" s="78"/>
      <c r="U42" s="811"/>
    </row>
    <row r="43" customFormat="false" ht="14.25" hidden="false" customHeight="false" outlineLevel="0" collapsed="false">
      <c r="A43" s="811"/>
      <c r="B43" s="812"/>
      <c r="C43" s="835"/>
      <c r="D43" s="836"/>
      <c r="E43" s="837"/>
      <c r="F43" s="838"/>
      <c r="G43" s="812"/>
      <c r="H43" s="811"/>
      <c r="I43" s="811"/>
      <c r="J43" s="811"/>
      <c r="K43" s="811"/>
      <c r="L43" s="811"/>
      <c r="M43" s="811"/>
      <c r="N43" s="811"/>
      <c r="O43" s="811"/>
      <c r="P43" s="79" t="s">
        <v>91</v>
      </c>
      <c r="Q43" s="78"/>
      <c r="R43" s="78"/>
      <c r="S43" s="78"/>
      <c r="T43" s="78"/>
      <c r="U43" s="811"/>
    </row>
    <row r="44" customFormat="false" ht="14.25" hidden="false" customHeight="false" outlineLevel="0" collapsed="false">
      <c r="A44" s="811"/>
      <c r="B44" s="812"/>
      <c r="C44" s="835"/>
      <c r="D44" s="836"/>
      <c r="E44" s="837"/>
      <c r="F44" s="838"/>
      <c r="G44" s="812"/>
      <c r="H44" s="811"/>
      <c r="I44" s="811"/>
      <c r="J44" s="811"/>
      <c r="K44" s="811"/>
      <c r="L44" s="811"/>
      <c r="M44" s="811"/>
      <c r="N44" s="811"/>
      <c r="O44" s="811"/>
      <c r="P44" s="78"/>
      <c r="Q44" s="78"/>
      <c r="R44" s="78"/>
      <c r="S44" s="78"/>
      <c r="T44" s="78"/>
      <c r="U44" s="811"/>
    </row>
    <row r="45" customFormat="false" ht="14.25" hidden="false" customHeight="false" outlineLevel="0" collapsed="false">
      <c r="A45" s="811"/>
      <c r="B45" s="812"/>
      <c r="C45" s="835"/>
      <c r="D45" s="836"/>
      <c r="E45" s="837"/>
      <c r="F45" s="838"/>
      <c r="G45" s="812"/>
      <c r="H45" s="811"/>
      <c r="I45" s="811"/>
      <c r="J45" s="811"/>
      <c r="K45" s="811"/>
      <c r="L45" s="811"/>
      <c r="M45" s="811"/>
      <c r="N45" s="811"/>
      <c r="O45" s="811"/>
      <c r="P45" s="78"/>
      <c r="Q45" s="78"/>
      <c r="R45" s="78"/>
      <c r="S45" s="78"/>
      <c r="T45" s="78"/>
      <c r="U45" s="811"/>
    </row>
    <row r="46" customFormat="false" ht="14.25" hidden="false" customHeight="false" outlineLevel="0" collapsed="false">
      <c r="A46" s="811"/>
      <c r="B46" s="812"/>
      <c r="C46" s="835"/>
      <c r="D46" s="836"/>
      <c r="E46" s="837"/>
      <c r="F46" s="838"/>
      <c r="G46" s="812"/>
      <c r="H46" s="811"/>
      <c r="I46" s="811"/>
      <c r="J46" s="811"/>
      <c r="K46" s="811"/>
      <c r="L46" s="811"/>
      <c r="M46" s="811"/>
      <c r="N46" s="811"/>
      <c r="O46" s="811"/>
      <c r="Q46" s="78"/>
      <c r="R46" s="78"/>
      <c r="S46" s="78"/>
      <c r="T46" s="78"/>
      <c r="U46" s="811"/>
    </row>
    <row r="47" customFormat="false" ht="14.25" hidden="false" customHeight="false" outlineLevel="0" collapsed="false">
      <c r="A47" s="811"/>
      <c r="B47" s="812"/>
      <c r="C47" s="835"/>
      <c r="D47" s="836"/>
      <c r="E47" s="837"/>
      <c r="F47" s="838"/>
      <c r="G47" s="812"/>
      <c r="H47" s="811"/>
      <c r="I47" s="811"/>
      <c r="J47" s="811"/>
      <c r="K47" s="811"/>
      <c r="L47" s="811"/>
      <c r="M47" s="811"/>
      <c r="N47" s="811"/>
      <c r="O47" s="811"/>
      <c r="Q47" s="78"/>
      <c r="R47" s="78"/>
      <c r="S47" s="78"/>
      <c r="T47" s="78"/>
      <c r="U47" s="811"/>
    </row>
    <row r="48" customFormat="false" ht="14.25" hidden="false" customHeight="false" outlineLevel="0" collapsed="false">
      <c r="A48" s="811"/>
      <c r="B48" s="812"/>
      <c r="C48" s="835"/>
      <c r="D48" s="836"/>
      <c r="E48" s="837"/>
      <c r="F48" s="838"/>
      <c r="G48" s="812"/>
      <c r="H48" s="811"/>
      <c r="I48" s="811"/>
      <c r="J48" s="811"/>
      <c r="K48" s="811"/>
      <c r="L48" s="811"/>
      <c r="M48" s="811"/>
      <c r="N48" s="811"/>
      <c r="O48" s="811"/>
      <c r="S48" s="78"/>
      <c r="U48" s="811"/>
    </row>
    <row r="49" customFormat="false" ht="14.25" hidden="false" customHeight="false" outlineLevel="0" collapsed="false">
      <c r="A49" s="811"/>
      <c r="B49" s="812"/>
      <c r="C49" s="835"/>
      <c r="D49" s="836"/>
      <c r="E49" s="837"/>
      <c r="F49" s="838"/>
      <c r="G49" s="812"/>
      <c r="H49" s="811"/>
      <c r="I49" s="811"/>
      <c r="J49" s="811"/>
      <c r="K49" s="811"/>
      <c r="L49" s="811"/>
      <c r="M49" s="811"/>
      <c r="N49" s="811"/>
      <c r="O49" s="811"/>
      <c r="S49" s="78"/>
      <c r="U49" s="811"/>
    </row>
    <row r="50" customFormat="false" ht="14.25" hidden="false" customHeight="false" outlineLevel="0" collapsed="false">
      <c r="A50" s="811"/>
      <c r="B50" s="812"/>
      <c r="C50" s="835"/>
      <c r="D50" s="836"/>
      <c r="E50" s="837"/>
      <c r="F50" s="838"/>
      <c r="G50" s="812"/>
      <c r="H50" s="811"/>
      <c r="I50" s="811"/>
      <c r="J50" s="811"/>
      <c r="K50" s="811"/>
      <c r="L50" s="811"/>
      <c r="M50" s="811"/>
      <c r="N50" s="811"/>
      <c r="O50" s="811"/>
      <c r="U50" s="811"/>
    </row>
    <row r="51" customFormat="false" ht="14.25" hidden="false" customHeight="false" outlineLevel="0" collapsed="false">
      <c r="A51" s="811"/>
      <c r="B51" s="812"/>
      <c r="C51" s="835"/>
      <c r="D51" s="836"/>
      <c r="E51" s="837"/>
      <c r="F51" s="838"/>
      <c r="G51" s="812"/>
      <c r="H51" s="811"/>
      <c r="I51" s="811"/>
      <c r="J51" s="811"/>
      <c r="K51" s="811"/>
      <c r="L51" s="811"/>
      <c r="M51" s="811"/>
      <c r="N51" s="811"/>
      <c r="O51" s="811"/>
      <c r="U51" s="811"/>
    </row>
    <row r="52" customFormat="false" ht="14.25" hidden="false" customHeight="false" outlineLevel="0" collapsed="false">
      <c r="A52" s="818"/>
      <c r="B52" s="812"/>
      <c r="C52" s="835"/>
      <c r="D52" s="836"/>
      <c r="E52" s="837"/>
      <c r="F52" s="838"/>
      <c r="G52" s="812"/>
      <c r="H52" s="818"/>
      <c r="I52" s="818"/>
      <c r="J52" s="818"/>
      <c r="K52" s="818"/>
      <c r="L52" s="818"/>
      <c r="M52" s="818"/>
      <c r="N52" s="818"/>
      <c r="O52" s="818"/>
      <c r="U52" s="818"/>
    </row>
    <row r="53" customFormat="false" ht="14.25" hidden="false" customHeight="false" outlineLevel="0" collapsed="false">
      <c r="A53" s="811"/>
      <c r="B53" s="812"/>
      <c r="C53" s="835"/>
      <c r="D53" s="836"/>
      <c r="E53" s="837"/>
      <c r="F53" s="838"/>
      <c r="G53" s="812"/>
      <c r="H53" s="811"/>
      <c r="I53" s="811"/>
      <c r="J53" s="811"/>
      <c r="K53" s="811"/>
      <c r="L53" s="811"/>
      <c r="M53" s="811"/>
      <c r="N53" s="811"/>
      <c r="O53" s="811"/>
      <c r="U53" s="811"/>
    </row>
    <row r="54" customFormat="false" ht="14.25" hidden="false" customHeight="false" outlineLevel="0" collapsed="false">
      <c r="A54" s="811"/>
      <c r="B54" s="812"/>
      <c r="C54" s="835"/>
      <c r="D54" s="836"/>
      <c r="E54" s="837"/>
      <c r="F54" s="838"/>
      <c r="G54" s="812"/>
      <c r="H54" s="811"/>
      <c r="I54" s="811"/>
      <c r="J54" s="811"/>
      <c r="K54" s="811"/>
      <c r="L54" s="811"/>
      <c r="M54" s="811"/>
      <c r="N54" s="811"/>
      <c r="O54" s="811"/>
      <c r="U54" s="811"/>
    </row>
    <row r="55" customFormat="false" ht="14.25" hidden="false" customHeight="false" outlineLevel="0" collapsed="false">
      <c r="A55" s="811"/>
      <c r="B55" s="812"/>
      <c r="C55" s="835"/>
      <c r="D55" s="836"/>
      <c r="E55" s="837"/>
      <c r="F55" s="838"/>
      <c r="G55" s="812"/>
      <c r="H55" s="811"/>
      <c r="I55" s="811"/>
      <c r="J55" s="811"/>
      <c r="K55" s="811"/>
      <c r="L55" s="811"/>
      <c r="M55" s="811"/>
      <c r="N55" s="811"/>
      <c r="O55" s="811"/>
      <c r="U55" s="811"/>
    </row>
    <row r="56" customFormat="false" ht="14.25" hidden="false" customHeight="false" outlineLevel="0" collapsed="false">
      <c r="A56" s="811"/>
      <c r="B56" s="812"/>
      <c r="C56" s="831"/>
      <c r="D56" s="836"/>
      <c r="E56" s="837"/>
      <c r="F56" s="838"/>
      <c r="G56" s="812"/>
      <c r="H56" s="811"/>
      <c r="I56" s="811"/>
      <c r="J56" s="811"/>
      <c r="K56" s="811"/>
      <c r="L56" s="811"/>
      <c r="M56" s="811"/>
      <c r="N56" s="811"/>
      <c r="O56" s="811"/>
      <c r="U56" s="811"/>
    </row>
    <row r="57" customFormat="false" ht="14.25" hidden="false" customHeight="false" outlineLevel="0" collapsed="false">
      <c r="A57" s="811"/>
      <c r="B57" s="812"/>
      <c r="C57" s="835"/>
      <c r="D57" s="836"/>
      <c r="E57" s="837"/>
      <c r="F57" s="838"/>
      <c r="G57" s="812"/>
      <c r="H57" s="811"/>
      <c r="I57" s="811"/>
      <c r="J57" s="811"/>
      <c r="K57" s="811"/>
      <c r="L57" s="811"/>
      <c r="M57" s="811"/>
      <c r="N57" s="811"/>
      <c r="O57" s="811"/>
      <c r="U57" s="811"/>
    </row>
    <row r="58" customFormat="false" ht="14.25" hidden="false" customHeight="false" outlineLevel="0" collapsed="false">
      <c r="A58" s="811"/>
      <c r="B58" s="812"/>
      <c r="C58" s="849" t="s">
        <v>633</v>
      </c>
      <c r="D58" s="849"/>
      <c r="E58" s="849"/>
      <c r="F58" s="844" t="n">
        <f aca="false">SUM(F42:F57)</f>
        <v>10910.76</v>
      </c>
      <c r="G58" s="812"/>
      <c r="H58" s="811"/>
      <c r="I58" s="811"/>
      <c r="J58" s="811"/>
      <c r="K58" s="811"/>
      <c r="L58" s="811"/>
      <c r="M58" s="811"/>
      <c r="N58" s="811"/>
      <c r="O58" s="811"/>
      <c r="U58" s="811"/>
    </row>
    <row r="59" customFormat="false" ht="14.25" hidden="false" customHeight="false" outlineLevel="0" collapsed="false">
      <c r="A59" s="811"/>
      <c r="B59" s="812"/>
      <c r="C59" s="850" t="s">
        <v>634</v>
      </c>
      <c r="D59" s="850"/>
      <c r="E59" s="850"/>
      <c r="F59" s="850"/>
      <c r="G59" s="812"/>
      <c r="H59" s="811"/>
      <c r="I59" s="811"/>
      <c r="J59" s="811"/>
      <c r="K59" s="811"/>
      <c r="L59" s="811"/>
      <c r="M59" s="811"/>
      <c r="N59" s="811"/>
      <c r="O59" s="811"/>
      <c r="U59" s="811"/>
    </row>
  </sheetData>
  <sheetProtection algorithmName="SHA-512" hashValue="U0U3eT5Y9uF8JPp4Cidw4XF+tqF5EIxnrv69AMMCI/G96HoJtQdWx7XO7TH9vyKIKsWTjh9R0cusa6eAocbEJA==" saltValue="XlBBpv3TytlQ4hzvaUdxVQ==" spinCount="100000" sheet="true" objects="true" scenarios="true"/>
  <mergeCells count="7">
    <mergeCell ref="C3:F3"/>
    <mergeCell ref="C4:F4"/>
    <mergeCell ref="C6:F6"/>
    <mergeCell ref="C8:F8"/>
    <mergeCell ref="C10:F10"/>
    <mergeCell ref="C58:E58"/>
    <mergeCell ref="C59:F59"/>
  </mergeCells>
  <conditionalFormatting sqref="C10:F10">
    <cfRule type="expression" priority="2" aboveAverage="0" equalAverage="0" bottom="0" percent="0" rank="0" text="" dxfId="29">
      <formula>OR(COUNTIF($C$14:$C$37,"acceps") &gt; 0,COUNTIF($C$42:$C$55,"acceps")&gt;0)</formula>
    </cfRule>
  </conditionalFormatting>
  <conditionalFormatting sqref="C14:C37 C42:C57">
    <cfRule type="expression" priority="3" aboveAverage="0" equalAverage="0" bottom="0" percent="0" rank="0" text="" dxfId="30">
      <formula>SEARCH("ACCEPS",C14)</formula>
    </cfRule>
  </conditionalFormatting>
  <dataValidations count="2">
    <dataValidation allowBlank="true" error="Enter a dollar amount greater than zero." errorStyle="stop" operator="greaterThanOrEqual" showDropDown="false" showErrorMessage="true" showInputMessage="true" sqref="F14:F34 F42:F55" type="decimal">
      <formula1>0</formula1>
      <formula2>0</formula2>
    </dataValidation>
    <dataValidation allowBlank="true" error="Enter a date." errorStyle="stop" operator="greaterThan" showDropDown="false" showErrorMessage="true" showInputMessage="true" sqref="E14:E34 E42:E55" type="date">
      <formula1>36526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55"/>
  <sheetViews>
    <sheetView showFormulas="false" showGridLines="tru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P43" activeCellId="0" sqref="P43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61.62"/>
    <col collapsed="false" customWidth="true" hidden="false" outlineLevel="0" max="5" min="4" style="1" width="15.62"/>
    <col collapsed="false" customWidth="true" hidden="false" outlineLevel="0" max="6" min="6" style="1" width="17.62"/>
    <col collapsed="false" customWidth="true" hidden="false" outlineLevel="0" max="8" min="7" style="1" width="3.62"/>
    <col collapsed="false" customWidth="true" hidden="true" outlineLevel="0" max="15" min="9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851"/>
      <c r="B1" s="852"/>
      <c r="C1" s="852"/>
      <c r="D1" s="852"/>
      <c r="E1" s="852"/>
      <c r="F1" s="852"/>
      <c r="G1" s="852"/>
      <c r="H1" s="852"/>
      <c r="I1" s="852"/>
      <c r="J1" s="852"/>
      <c r="K1" s="852"/>
      <c r="L1" s="852"/>
      <c r="M1" s="852"/>
      <c r="N1" s="852"/>
      <c r="O1" s="852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852"/>
      <c r="V1" s="852"/>
    </row>
    <row r="2" customFormat="false" ht="14.25" hidden="false" customHeight="false" outlineLevel="0" collapsed="false">
      <c r="A2" s="852"/>
      <c r="B2" s="853"/>
      <c r="C2" s="81" t="str">
        <f aca="false">Contents!B59</f>
        <v>Version: AS L 6 LARGE locked LOCAL</v>
      </c>
      <c r="D2" s="853"/>
      <c r="E2" s="853"/>
      <c r="F2" s="853"/>
      <c r="G2" s="853"/>
      <c r="H2" s="852"/>
      <c r="I2" s="852"/>
      <c r="J2" s="852"/>
      <c r="K2" s="852"/>
      <c r="L2" s="852"/>
      <c r="M2" s="852"/>
      <c r="N2" s="852"/>
      <c r="O2" s="852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852"/>
      <c r="V2" s="852"/>
    </row>
    <row r="3" customFormat="false" ht="14.25" hidden="false" customHeight="false" outlineLevel="0" collapsed="false">
      <c r="A3" s="854"/>
      <c r="B3" s="855"/>
      <c r="C3" s="856" t="str">
        <f aca="false">Contents!$E$3</f>
        <v>THE SOCIETY FOR CREATIVE ANACHRONISM, INC.</v>
      </c>
      <c r="D3" s="856"/>
      <c r="E3" s="856"/>
      <c r="F3" s="856"/>
      <c r="G3" s="857"/>
      <c r="H3" s="854"/>
      <c r="I3" s="854"/>
      <c r="J3" s="854"/>
      <c r="K3" s="854"/>
      <c r="L3" s="854"/>
      <c r="M3" s="854"/>
      <c r="N3" s="854"/>
      <c r="O3" s="85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854"/>
      <c r="V3" s="854"/>
    </row>
    <row r="4" customFormat="false" ht="14.25" hidden="false" customHeight="false" outlineLevel="0" collapsed="false">
      <c r="A4" s="852"/>
      <c r="B4" s="855"/>
      <c r="C4" s="856" t="str">
        <f aca="false">Contents!$E$4</f>
        <v>FINANCIAL REPORT</v>
      </c>
      <c r="D4" s="856"/>
      <c r="E4" s="856"/>
      <c r="F4" s="856"/>
      <c r="G4" s="857"/>
      <c r="H4" s="852"/>
      <c r="I4" s="852"/>
      <c r="J4" s="852"/>
      <c r="K4" s="852"/>
      <c r="L4" s="852"/>
      <c r="M4" s="852"/>
      <c r="N4" s="852"/>
      <c r="O4" s="852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852"/>
      <c r="V4" s="852"/>
    </row>
    <row r="5" customFormat="false" ht="14.25" hidden="false" customHeight="false" outlineLevel="0" collapsed="false">
      <c r="A5" s="852"/>
      <c r="B5" s="853"/>
      <c r="C5" s="853"/>
      <c r="D5" s="853"/>
      <c r="E5" s="853"/>
      <c r="F5" s="853"/>
      <c r="G5" s="853"/>
      <c r="H5" s="852"/>
      <c r="I5" s="852"/>
      <c r="J5" s="852"/>
      <c r="K5" s="852"/>
      <c r="L5" s="852"/>
      <c r="M5" s="852"/>
      <c r="N5" s="852"/>
      <c r="O5" s="852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852"/>
      <c r="V5" s="852"/>
    </row>
    <row r="6" customFormat="false" ht="14.25" hidden="false" customHeight="false" outlineLevel="0" collapsed="false">
      <c r="A6" s="852"/>
      <c r="B6" s="853"/>
      <c r="C6" s="858" t="str">
        <f aca="false">Contents!B58</f>
        <v>Branch:   SCA, Inc.- Middle Kingdom                                               Period:  1/01/2025             to     12/31/2025            .</v>
      </c>
      <c r="D6" s="858"/>
      <c r="E6" s="858"/>
      <c r="F6" s="858"/>
      <c r="G6" s="853"/>
      <c r="H6" s="852"/>
      <c r="I6" s="852"/>
      <c r="J6" s="852"/>
      <c r="K6" s="852"/>
      <c r="L6" s="852"/>
      <c r="M6" s="852"/>
      <c r="N6" s="852"/>
      <c r="O6" s="852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852"/>
      <c r="V6" s="852"/>
    </row>
    <row r="7" customFormat="false" ht="14.25" hidden="false" customHeight="false" outlineLevel="0" collapsed="false">
      <c r="A7" s="852"/>
      <c r="B7" s="853"/>
      <c r="C7" s="853"/>
      <c r="D7" s="853"/>
      <c r="E7" s="853"/>
      <c r="F7" s="853"/>
      <c r="G7" s="853"/>
      <c r="H7" s="852"/>
      <c r="I7" s="852"/>
      <c r="J7" s="852"/>
      <c r="K7" s="852"/>
      <c r="L7" s="852"/>
      <c r="M7" s="852"/>
      <c r="N7" s="852"/>
      <c r="O7" s="852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852"/>
      <c r="V7" s="852"/>
    </row>
    <row r="8" customFormat="false" ht="17.35" hidden="false" customHeight="false" outlineLevel="0" collapsed="false">
      <c r="A8" s="852"/>
      <c r="B8" s="853"/>
      <c r="C8" s="859" t="s">
        <v>635</v>
      </c>
      <c r="D8" s="859"/>
      <c r="E8" s="859"/>
      <c r="F8" s="859"/>
      <c r="G8" s="859"/>
      <c r="H8" s="852"/>
      <c r="I8" s="852"/>
      <c r="J8" s="852"/>
      <c r="K8" s="852"/>
      <c r="L8" s="852"/>
      <c r="M8" s="852"/>
      <c r="N8" s="852"/>
      <c r="O8" s="852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852"/>
      <c r="V8" s="852"/>
    </row>
    <row r="9" customFormat="false" ht="14.25" hidden="false" customHeight="false" outlineLevel="0" collapsed="false">
      <c r="A9" s="852"/>
      <c r="B9" s="853"/>
      <c r="C9" s="860" t="s">
        <v>636</v>
      </c>
      <c r="D9" s="853"/>
      <c r="E9" s="853"/>
      <c r="F9" s="853"/>
      <c r="G9" s="853"/>
      <c r="H9" s="852"/>
      <c r="I9" s="852"/>
      <c r="J9" s="852"/>
      <c r="K9" s="852"/>
      <c r="L9" s="852"/>
      <c r="M9" s="852"/>
      <c r="N9" s="852"/>
      <c r="O9" s="852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852"/>
      <c r="V9" s="852"/>
    </row>
    <row r="10" customFormat="false" ht="14.25" hidden="false" customHeight="false" outlineLevel="0" collapsed="false">
      <c r="A10" s="852"/>
      <c r="B10" s="853"/>
      <c r="C10" s="861" t="s">
        <v>637</v>
      </c>
      <c r="D10" s="862" t="s">
        <v>588</v>
      </c>
      <c r="E10" s="863" t="s">
        <v>589</v>
      </c>
      <c r="F10" s="864" t="s">
        <v>416</v>
      </c>
      <c r="G10" s="853"/>
      <c r="H10" s="852"/>
      <c r="I10" s="852"/>
      <c r="J10" s="852"/>
      <c r="K10" s="852"/>
      <c r="L10" s="852"/>
      <c r="M10" s="852"/>
      <c r="N10" s="852"/>
      <c r="O10" s="852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852"/>
      <c r="V10" s="852"/>
    </row>
    <row r="11" customFormat="false" ht="14.25" hidden="false" customHeight="false" outlineLevel="0" collapsed="false">
      <c r="A11" s="852"/>
      <c r="B11" s="853"/>
      <c r="C11" s="865" t="s">
        <v>638</v>
      </c>
      <c r="D11" s="866" t="s">
        <v>639</v>
      </c>
      <c r="E11" s="867" t="n">
        <v>45688</v>
      </c>
      <c r="F11" s="868" t="n">
        <v>1965.24</v>
      </c>
      <c r="G11" s="869"/>
      <c r="H11" s="852"/>
      <c r="I11" s="852"/>
      <c r="J11" s="852"/>
      <c r="K11" s="852"/>
      <c r="L11" s="852"/>
      <c r="M11" s="852"/>
      <c r="N11" s="852"/>
      <c r="O11" s="852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852"/>
      <c r="V11" s="852"/>
    </row>
    <row r="12" customFormat="false" ht="14.25" hidden="false" customHeight="false" outlineLevel="0" collapsed="false">
      <c r="A12" s="852"/>
      <c r="B12" s="853"/>
      <c r="C12" s="870" t="s">
        <v>640</v>
      </c>
      <c r="D12" s="871" t="s">
        <v>641</v>
      </c>
      <c r="E12" s="872" t="n">
        <v>45919</v>
      </c>
      <c r="F12" s="873" t="n">
        <v>67.09</v>
      </c>
      <c r="G12" s="869"/>
      <c r="H12" s="852"/>
      <c r="I12" s="852"/>
      <c r="J12" s="852"/>
      <c r="K12" s="852"/>
      <c r="L12" s="852"/>
      <c r="M12" s="852"/>
      <c r="N12" s="852"/>
      <c r="O12" s="852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852"/>
      <c r="V12" s="852"/>
    </row>
    <row r="13" customFormat="false" ht="14.25" hidden="false" customHeight="false" outlineLevel="0" collapsed="false">
      <c r="A13" s="852"/>
      <c r="B13" s="853"/>
      <c r="C13" s="870" t="s">
        <v>642</v>
      </c>
      <c r="D13" s="871" t="s">
        <v>643</v>
      </c>
      <c r="E13" s="872" t="n">
        <v>45924</v>
      </c>
      <c r="F13" s="873" t="n">
        <v>68.04</v>
      </c>
      <c r="G13" s="869"/>
      <c r="H13" s="852"/>
      <c r="I13" s="852"/>
      <c r="J13" s="852"/>
      <c r="K13" s="852"/>
      <c r="L13" s="852"/>
      <c r="M13" s="852"/>
      <c r="N13" s="852"/>
      <c r="O13" s="852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852"/>
      <c r="V13" s="852"/>
    </row>
    <row r="14" customFormat="false" ht="14.25" hidden="false" customHeight="false" outlineLevel="0" collapsed="false">
      <c r="A14" s="852"/>
      <c r="B14" s="853"/>
      <c r="C14" s="870" t="s">
        <v>644</v>
      </c>
      <c r="D14" s="871" t="s">
        <v>645</v>
      </c>
      <c r="E14" s="872" t="n">
        <v>45994</v>
      </c>
      <c r="F14" s="873"/>
      <c r="G14" s="869"/>
      <c r="H14" s="852"/>
      <c r="I14" s="852"/>
      <c r="J14" s="852"/>
      <c r="K14" s="852"/>
      <c r="L14" s="852"/>
      <c r="M14" s="852"/>
      <c r="N14" s="852"/>
      <c r="O14" s="852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852"/>
      <c r="V14" s="852"/>
    </row>
    <row r="15" customFormat="false" ht="14.25" hidden="false" customHeight="false" outlineLevel="0" collapsed="false">
      <c r="A15" s="852"/>
      <c r="B15" s="853"/>
      <c r="C15" s="870"/>
      <c r="D15" s="871"/>
      <c r="E15" s="872"/>
      <c r="F15" s="873"/>
      <c r="G15" s="869"/>
      <c r="H15" s="852"/>
      <c r="I15" s="852"/>
      <c r="J15" s="852"/>
      <c r="K15" s="852"/>
      <c r="L15" s="852"/>
      <c r="M15" s="852"/>
      <c r="N15" s="852"/>
      <c r="O15" s="852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852"/>
      <c r="V15" s="852"/>
    </row>
    <row r="16" customFormat="false" ht="14.25" hidden="false" customHeight="false" outlineLevel="0" collapsed="false">
      <c r="A16" s="852"/>
      <c r="B16" s="853"/>
      <c r="C16" s="870"/>
      <c r="D16" s="871"/>
      <c r="E16" s="872"/>
      <c r="F16" s="873"/>
      <c r="G16" s="869"/>
      <c r="H16" s="852"/>
      <c r="I16" s="852"/>
      <c r="J16" s="852"/>
      <c r="K16" s="852"/>
      <c r="L16" s="852"/>
      <c r="M16" s="852"/>
      <c r="N16" s="852"/>
      <c r="O16" s="852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852"/>
      <c r="V16" s="852"/>
    </row>
    <row r="17" customFormat="false" ht="14.25" hidden="false" customHeight="false" outlineLevel="0" collapsed="false">
      <c r="A17" s="852"/>
      <c r="B17" s="853"/>
      <c r="C17" s="870"/>
      <c r="D17" s="871"/>
      <c r="E17" s="872"/>
      <c r="F17" s="873"/>
      <c r="G17" s="869"/>
      <c r="H17" s="852"/>
      <c r="I17" s="852"/>
      <c r="J17" s="852"/>
      <c r="K17" s="852"/>
      <c r="L17" s="852"/>
      <c r="M17" s="852"/>
      <c r="N17" s="852"/>
      <c r="O17" s="852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852"/>
      <c r="V17" s="852"/>
    </row>
    <row r="18" customFormat="false" ht="14.25" hidden="false" customHeight="false" outlineLevel="0" collapsed="false">
      <c r="A18" s="852"/>
      <c r="B18" s="853"/>
      <c r="C18" s="870"/>
      <c r="D18" s="871"/>
      <c r="E18" s="872"/>
      <c r="F18" s="873"/>
      <c r="G18" s="869"/>
      <c r="H18" s="852"/>
      <c r="I18" s="852"/>
      <c r="J18" s="852"/>
      <c r="K18" s="852"/>
      <c r="L18" s="852"/>
      <c r="M18" s="852"/>
      <c r="N18" s="852"/>
      <c r="O18" s="852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852"/>
      <c r="V18" s="852"/>
    </row>
    <row r="19" customFormat="false" ht="14.25" hidden="false" customHeight="false" outlineLevel="0" collapsed="false">
      <c r="A19" s="852"/>
      <c r="B19" s="853"/>
      <c r="C19" s="870"/>
      <c r="D19" s="871"/>
      <c r="E19" s="872"/>
      <c r="F19" s="873"/>
      <c r="G19" s="869"/>
      <c r="H19" s="852"/>
      <c r="I19" s="852"/>
      <c r="J19" s="852"/>
      <c r="K19" s="852"/>
      <c r="L19" s="852"/>
      <c r="M19" s="852"/>
      <c r="N19" s="852"/>
      <c r="O19" s="852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852"/>
      <c r="V19" s="852"/>
    </row>
    <row r="20" customFormat="false" ht="14.25" hidden="false" customHeight="false" outlineLevel="0" collapsed="false">
      <c r="A20" s="852"/>
      <c r="B20" s="853"/>
      <c r="C20" s="870"/>
      <c r="D20" s="871"/>
      <c r="E20" s="872"/>
      <c r="F20" s="873"/>
      <c r="G20" s="869"/>
      <c r="H20" s="874"/>
      <c r="I20" s="874"/>
      <c r="J20" s="874"/>
      <c r="K20" s="874"/>
      <c r="L20" s="874"/>
      <c r="M20" s="874"/>
      <c r="N20" s="874"/>
      <c r="O20" s="874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852"/>
      <c r="V20" s="852"/>
    </row>
    <row r="21" customFormat="false" ht="14.25" hidden="false" customHeight="false" outlineLevel="0" collapsed="false">
      <c r="A21" s="852"/>
      <c r="B21" s="853"/>
      <c r="C21" s="870"/>
      <c r="D21" s="871"/>
      <c r="E21" s="872"/>
      <c r="F21" s="873"/>
      <c r="G21" s="869"/>
      <c r="H21" s="852"/>
      <c r="I21" s="852"/>
      <c r="J21" s="852"/>
      <c r="K21" s="852"/>
      <c r="L21" s="852"/>
      <c r="M21" s="852"/>
      <c r="N21" s="852"/>
      <c r="O21" s="852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852"/>
      <c r="V21" s="852"/>
    </row>
    <row r="22" customFormat="false" ht="14.25" hidden="false" customHeight="false" outlineLevel="0" collapsed="false">
      <c r="A22" s="852"/>
      <c r="B22" s="853"/>
      <c r="C22" s="870"/>
      <c r="D22" s="871"/>
      <c r="E22" s="872"/>
      <c r="F22" s="873"/>
      <c r="G22" s="869"/>
      <c r="H22" s="852"/>
      <c r="I22" s="852"/>
      <c r="J22" s="852"/>
      <c r="K22" s="852"/>
      <c r="L22" s="852"/>
      <c r="M22" s="852"/>
      <c r="N22" s="852"/>
      <c r="O22" s="852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852"/>
      <c r="V22" s="852"/>
    </row>
    <row r="23" customFormat="false" ht="14.25" hidden="false" customHeight="false" outlineLevel="0" collapsed="false">
      <c r="A23" s="852"/>
      <c r="B23" s="853"/>
      <c r="C23" s="870"/>
      <c r="D23" s="871"/>
      <c r="E23" s="872"/>
      <c r="F23" s="873"/>
      <c r="G23" s="869"/>
      <c r="H23" s="852"/>
      <c r="I23" s="852"/>
      <c r="J23" s="852"/>
      <c r="K23" s="852"/>
      <c r="L23" s="852"/>
      <c r="M23" s="852"/>
      <c r="N23" s="852"/>
      <c r="O23" s="852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852"/>
      <c r="V23" s="852"/>
    </row>
    <row r="24" customFormat="false" ht="14.25" hidden="false" customHeight="false" outlineLevel="0" collapsed="false">
      <c r="A24" s="875"/>
      <c r="B24" s="853"/>
      <c r="C24" s="870"/>
      <c r="D24" s="871"/>
      <c r="E24" s="872"/>
      <c r="F24" s="873"/>
      <c r="G24" s="869"/>
      <c r="H24" s="875"/>
      <c r="I24" s="875"/>
      <c r="J24" s="875"/>
      <c r="K24" s="875"/>
      <c r="L24" s="875"/>
      <c r="M24" s="875"/>
      <c r="N24" s="875"/>
      <c r="O24" s="875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875"/>
      <c r="V24" s="875"/>
    </row>
    <row r="25" customFormat="false" ht="14.25" hidden="false" customHeight="false" outlineLevel="0" collapsed="false">
      <c r="A25" s="852"/>
      <c r="B25" s="853"/>
      <c r="C25" s="876"/>
      <c r="D25" s="877"/>
      <c r="E25" s="878" t="s">
        <v>646</v>
      </c>
      <c r="F25" s="879" t="n">
        <f aca="false">SUM(F11:F24)</f>
        <v>2100.37</v>
      </c>
      <c r="G25" s="880"/>
      <c r="H25" s="852"/>
      <c r="I25" s="852"/>
      <c r="J25" s="852"/>
      <c r="K25" s="852"/>
      <c r="L25" s="852"/>
      <c r="M25" s="852"/>
      <c r="N25" s="852"/>
      <c r="O25" s="852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852"/>
      <c r="V25" s="852"/>
    </row>
    <row r="26" customFormat="false" ht="15" hidden="false" customHeight="false" outlineLevel="0" collapsed="false">
      <c r="A26" s="852"/>
      <c r="B26" s="853"/>
      <c r="C26" s="881"/>
      <c r="D26" s="882"/>
      <c r="E26" s="881"/>
      <c r="F26" s="883"/>
      <c r="G26" s="884"/>
      <c r="H26" s="852"/>
      <c r="I26" s="852"/>
      <c r="J26" s="852"/>
      <c r="K26" s="852"/>
      <c r="L26" s="852"/>
      <c r="M26" s="852"/>
      <c r="N26" s="852"/>
      <c r="O26" s="852"/>
      <c r="P26" s="79" t="s">
        <v>174</v>
      </c>
      <c r="Q26" s="78"/>
      <c r="R26" s="78"/>
      <c r="S26" s="79" t="s">
        <v>83</v>
      </c>
      <c r="T26" s="79" t="s">
        <v>174</v>
      </c>
      <c r="U26" s="852"/>
      <c r="V26" s="852"/>
    </row>
    <row r="27" customFormat="false" ht="14.25" hidden="false" customHeight="false" outlineLevel="0" collapsed="false">
      <c r="A27" s="852"/>
      <c r="B27" s="882"/>
      <c r="C27" s="860" t="s">
        <v>647</v>
      </c>
      <c r="D27" s="882"/>
      <c r="E27" s="882"/>
      <c r="F27" s="885"/>
      <c r="G27" s="886"/>
      <c r="H27" s="852"/>
      <c r="I27" s="852"/>
      <c r="J27" s="852"/>
      <c r="K27" s="852"/>
      <c r="L27" s="852"/>
      <c r="M27" s="852"/>
      <c r="N27" s="852"/>
      <c r="O27" s="852"/>
      <c r="P27" s="79" t="s">
        <v>177</v>
      </c>
      <c r="Q27" s="78"/>
      <c r="R27" s="78"/>
      <c r="S27" s="79" t="s">
        <v>85</v>
      </c>
      <c r="T27" s="79" t="s">
        <v>76</v>
      </c>
      <c r="U27" s="852"/>
      <c r="V27" s="852"/>
    </row>
    <row r="28" customFormat="false" ht="26.45" hidden="false" customHeight="false" outlineLevel="0" collapsed="false">
      <c r="A28" s="852"/>
      <c r="B28" s="853"/>
      <c r="C28" s="887" t="s">
        <v>648</v>
      </c>
      <c r="D28" s="862" t="s">
        <v>588</v>
      </c>
      <c r="E28" s="863" t="s">
        <v>589</v>
      </c>
      <c r="F28" s="888" t="s">
        <v>416</v>
      </c>
      <c r="G28" s="869"/>
      <c r="H28" s="852"/>
      <c r="I28" s="852"/>
      <c r="J28" s="852"/>
      <c r="K28" s="852"/>
      <c r="L28" s="852"/>
      <c r="M28" s="852"/>
      <c r="N28" s="852"/>
      <c r="O28" s="852"/>
      <c r="P28" s="79" t="s">
        <v>178</v>
      </c>
      <c r="Q28" s="78"/>
      <c r="R28" s="78"/>
      <c r="S28" s="79" t="s">
        <v>86</v>
      </c>
      <c r="T28" s="79" t="s">
        <v>78</v>
      </c>
      <c r="U28" s="852"/>
      <c r="V28" s="852"/>
    </row>
    <row r="29" customFormat="false" ht="14.25" hidden="false" customHeight="false" outlineLevel="0" collapsed="false">
      <c r="A29" s="852"/>
      <c r="B29" s="853"/>
      <c r="C29" s="865" t="s">
        <v>649</v>
      </c>
      <c r="D29" s="889" t="s">
        <v>645</v>
      </c>
      <c r="E29" s="890" t="n">
        <v>45674</v>
      </c>
      <c r="F29" s="891" t="n">
        <v>410</v>
      </c>
      <c r="G29" s="869"/>
      <c r="H29" s="852"/>
      <c r="I29" s="852"/>
      <c r="J29" s="852"/>
      <c r="K29" s="852"/>
      <c r="L29" s="852"/>
      <c r="M29" s="852"/>
      <c r="N29" s="852"/>
      <c r="O29" s="852"/>
      <c r="P29" s="79" t="s">
        <v>179</v>
      </c>
      <c r="Q29" s="78"/>
      <c r="R29" s="78"/>
      <c r="S29" s="79" t="s">
        <v>87</v>
      </c>
      <c r="T29" s="79" t="s">
        <v>79</v>
      </c>
      <c r="U29" s="852"/>
      <c r="V29" s="852"/>
    </row>
    <row r="30" customFormat="false" ht="14.25" hidden="false" customHeight="false" outlineLevel="0" collapsed="false">
      <c r="A30" s="852"/>
      <c r="B30" s="853"/>
      <c r="C30" s="870" t="s">
        <v>650</v>
      </c>
      <c r="D30" s="871" t="s">
        <v>645</v>
      </c>
      <c r="E30" s="872" t="n">
        <v>45679</v>
      </c>
      <c r="F30" s="873" t="n">
        <v>730</v>
      </c>
      <c r="G30" s="869"/>
      <c r="H30" s="852"/>
      <c r="I30" s="852"/>
      <c r="J30" s="852"/>
      <c r="K30" s="852"/>
      <c r="L30" s="852"/>
      <c r="M30" s="852"/>
      <c r="N30" s="852"/>
      <c r="O30" s="852"/>
      <c r="P30" s="79" t="s">
        <v>180</v>
      </c>
      <c r="Q30" s="78"/>
      <c r="R30" s="78"/>
      <c r="S30" s="79" t="s">
        <v>91</v>
      </c>
      <c r="T30" s="79" t="s">
        <v>81</v>
      </c>
      <c r="U30" s="852"/>
      <c r="V30" s="852"/>
    </row>
    <row r="31" customFormat="false" ht="14.25" hidden="false" customHeight="false" outlineLevel="0" collapsed="false">
      <c r="A31" s="852"/>
      <c r="B31" s="853"/>
      <c r="C31" s="870" t="s">
        <v>651</v>
      </c>
      <c r="D31" s="871" t="s">
        <v>645</v>
      </c>
      <c r="E31" s="872" t="n">
        <v>45719</v>
      </c>
      <c r="F31" s="873" t="n">
        <v>780</v>
      </c>
      <c r="G31" s="869"/>
      <c r="H31" s="852"/>
      <c r="I31" s="852"/>
      <c r="J31" s="852"/>
      <c r="K31" s="852"/>
      <c r="L31" s="852"/>
      <c r="M31" s="852"/>
      <c r="N31" s="852"/>
      <c r="O31" s="852"/>
      <c r="P31" s="79" t="s">
        <v>181</v>
      </c>
      <c r="Q31" s="78"/>
      <c r="R31" s="78"/>
      <c r="S31" s="78"/>
      <c r="T31" s="79" t="s">
        <v>83</v>
      </c>
      <c r="U31" s="852"/>
      <c r="V31" s="852"/>
    </row>
    <row r="32" customFormat="false" ht="14.25" hidden="false" customHeight="false" outlineLevel="0" collapsed="false">
      <c r="A32" s="852"/>
      <c r="B32" s="853"/>
      <c r="C32" s="870" t="s">
        <v>652</v>
      </c>
      <c r="D32" s="871" t="s">
        <v>645</v>
      </c>
      <c r="E32" s="872" t="n">
        <v>45727</v>
      </c>
      <c r="F32" s="873" t="n">
        <v>139.65</v>
      </c>
      <c r="G32" s="869"/>
      <c r="H32" s="852"/>
      <c r="I32" s="852"/>
      <c r="J32" s="852"/>
      <c r="K32" s="852"/>
      <c r="L32" s="852"/>
      <c r="M32" s="852"/>
      <c r="N32" s="852"/>
      <c r="O32" s="852"/>
      <c r="P32" s="79" t="s">
        <v>76</v>
      </c>
      <c r="Q32" s="78"/>
      <c r="R32" s="78"/>
      <c r="S32" s="78"/>
      <c r="T32" s="79" t="s">
        <v>85</v>
      </c>
      <c r="U32" s="852"/>
      <c r="V32" s="852"/>
    </row>
    <row r="33" customFormat="false" ht="14.25" hidden="false" customHeight="false" outlineLevel="0" collapsed="false">
      <c r="A33" s="852"/>
      <c r="B33" s="853"/>
      <c r="C33" s="870" t="s">
        <v>653</v>
      </c>
      <c r="D33" s="871" t="s">
        <v>645</v>
      </c>
      <c r="E33" s="872" t="n">
        <v>45754</v>
      </c>
      <c r="F33" s="873" t="n">
        <v>1960</v>
      </c>
      <c r="G33" s="869"/>
      <c r="H33" s="852"/>
      <c r="I33" s="852"/>
      <c r="J33" s="852"/>
      <c r="K33" s="852"/>
      <c r="L33" s="852"/>
      <c r="M33" s="852"/>
      <c r="N33" s="852"/>
      <c r="O33" s="852"/>
      <c r="P33" s="79" t="s">
        <v>78</v>
      </c>
      <c r="Q33" s="78"/>
      <c r="R33" s="78"/>
      <c r="S33" s="78"/>
      <c r="T33" s="79" t="s">
        <v>86</v>
      </c>
      <c r="U33" s="852"/>
      <c r="V33" s="852"/>
    </row>
    <row r="34" customFormat="false" ht="14.25" hidden="false" customHeight="false" outlineLevel="0" collapsed="false">
      <c r="A34" s="852"/>
      <c r="B34" s="853"/>
      <c r="C34" s="870" t="s">
        <v>654</v>
      </c>
      <c r="D34" s="871" t="s">
        <v>645</v>
      </c>
      <c r="E34" s="872" t="n">
        <v>45777</v>
      </c>
      <c r="F34" s="873" t="n">
        <v>1130</v>
      </c>
      <c r="G34" s="869"/>
      <c r="H34" s="852"/>
      <c r="I34" s="852"/>
      <c r="J34" s="852"/>
      <c r="K34" s="852"/>
      <c r="L34" s="852"/>
      <c r="M34" s="852"/>
      <c r="N34" s="852"/>
      <c r="O34" s="852"/>
      <c r="P34" s="79" t="s">
        <v>79</v>
      </c>
      <c r="Q34" s="78"/>
      <c r="R34" s="78"/>
      <c r="S34" s="78"/>
      <c r="T34" s="79" t="s">
        <v>87</v>
      </c>
      <c r="U34" s="852"/>
      <c r="V34" s="852"/>
    </row>
    <row r="35" customFormat="false" ht="14.25" hidden="false" customHeight="false" outlineLevel="0" collapsed="false">
      <c r="A35" s="852"/>
      <c r="B35" s="853"/>
      <c r="C35" s="870" t="s">
        <v>652</v>
      </c>
      <c r="D35" s="871" t="s">
        <v>645</v>
      </c>
      <c r="E35" s="872" t="n">
        <v>45793</v>
      </c>
      <c r="F35" s="873" t="n">
        <v>456.05</v>
      </c>
      <c r="G35" s="869"/>
      <c r="H35" s="852"/>
      <c r="I35" s="852"/>
      <c r="J35" s="852"/>
      <c r="K35" s="852"/>
      <c r="L35" s="852"/>
      <c r="M35" s="852"/>
      <c r="N35" s="852"/>
      <c r="O35" s="852"/>
      <c r="P35" s="79" t="s">
        <v>81</v>
      </c>
      <c r="Q35" s="78"/>
      <c r="R35" s="78"/>
      <c r="S35" s="78"/>
      <c r="T35" s="79" t="s">
        <v>89</v>
      </c>
      <c r="U35" s="852"/>
      <c r="V35" s="852"/>
    </row>
    <row r="36" customFormat="false" ht="14.25" hidden="false" customHeight="false" outlineLevel="0" collapsed="false">
      <c r="A36" s="852"/>
      <c r="B36" s="853"/>
      <c r="C36" s="870" t="s">
        <v>655</v>
      </c>
      <c r="D36" s="871" t="s">
        <v>645</v>
      </c>
      <c r="E36" s="872" t="n">
        <v>45814</v>
      </c>
      <c r="F36" s="873" t="n">
        <v>1100</v>
      </c>
      <c r="G36" s="869"/>
      <c r="H36" s="852"/>
      <c r="I36" s="852"/>
      <c r="J36" s="852"/>
      <c r="K36" s="852"/>
      <c r="L36" s="852"/>
      <c r="M36" s="852"/>
      <c r="N36" s="852"/>
      <c r="O36" s="852"/>
      <c r="P36" s="79" t="s">
        <v>83</v>
      </c>
      <c r="Q36" s="78"/>
      <c r="R36" s="78"/>
      <c r="S36" s="78"/>
      <c r="T36" s="79" t="s">
        <v>90</v>
      </c>
      <c r="U36" s="852"/>
      <c r="V36" s="852"/>
    </row>
    <row r="37" customFormat="false" ht="14.25" hidden="false" customHeight="false" outlineLevel="0" collapsed="false">
      <c r="A37" s="852"/>
      <c r="B37" s="853"/>
      <c r="C37" s="870" t="s">
        <v>656</v>
      </c>
      <c r="D37" s="871" t="s">
        <v>645</v>
      </c>
      <c r="E37" s="872" t="n">
        <v>45848</v>
      </c>
      <c r="F37" s="873" t="n">
        <v>1560</v>
      </c>
      <c r="G37" s="869"/>
      <c r="H37" s="852"/>
      <c r="I37" s="852"/>
      <c r="J37" s="852"/>
      <c r="K37" s="852"/>
      <c r="L37" s="852"/>
      <c r="M37" s="852"/>
      <c r="N37" s="852"/>
      <c r="O37" s="852"/>
      <c r="P37" s="79" t="s">
        <v>85</v>
      </c>
      <c r="Q37" s="78"/>
      <c r="R37" s="78"/>
      <c r="S37" s="78"/>
      <c r="T37" s="79" t="s">
        <v>192</v>
      </c>
      <c r="U37" s="852"/>
      <c r="V37" s="852"/>
    </row>
    <row r="38" customFormat="false" ht="14.25" hidden="false" customHeight="false" outlineLevel="0" collapsed="false">
      <c r="A38" s="852"/>
      <c r="B38" s="853"/>
      <c r="C38" s="892" t="s">
        <v>657</v>
      </c>
      <c r="D38" s="893" t="s">
        <v>645</v>
      </c>
      <c r="E38" s="872" t="n">
        <v>45868</v>
      </c>
      <c r="F38" s="873" t="n">
        <v>1940</v>
      </c>
      <c r="G38" s="869"/>
      <c r="H38" s="852"/>
      <c r="I38" s="852"/>
      <c r="J38" s="852"/>
      <c r="K38" s="852"/>
      <c r="L38" s="852"/>
      <c r="M38" s="852"/>
      <c r="N38" s="852"/>
      <c r="O38" s="852"/>
      <c r="P38" s="79" t="s">
        <v>86</v>
      </c>
      <c r="Q38" s="78"/>
      <c r="R38" s="78"/>
      <c r="S38" s="78"/>
      <c r="T38" s="79" t="s">
        <v>91</v>
      </c>
      <c r="U38" s="852"/>
      <c r="V38" s="852"/>
    </row>
    <row r="39" customFormat="false" ht="14.25" hidden="false" customHeight="false" outlineLevel="0" collapsed="false">
      <c r="A39" s="852"/>
      <c r="B39" s="853"/>
      <c r="C39" s="894"/>
      <c r="D39" s="895"/>
      <c r="E39" s="896" t="s">
        <v>658</v>
      </c>
      <c r="F39" s="897" t="n">
        <f aca="false">SUM(F29:F38)</f>
        <v>10205.7</v>
      </c>
      <c r="G39" s="869"/>
      <c r="H39" s="852"/>
      <c r="I39" s="852"/>
      <c r="J39" s="852"/>
      <c r="K39" s="852"/>
      <c r="L39" s="852"/>
      <c r="M39" s="852"/>
      <c r="N39" s="852"/>
      <c r="O39" s="852"/>
      <c r="P39" s="79" t="s">
        <v>87</v>
      </c>
      <c r="Q39" s="78"/>
      <c r="R39" s="78"/>
      <c r="S39" s="78"/>
      <c r="T39" s="79"/>
      <c r="U39" s="852"/>
      <c r="V39" s="852"/>
    </row>
    <row r="40" customFormat="false" ht="26.45" hidden="false" customHeight="false" outlineLevel="0" collapsed="false">
      <c r="A40" s="852"/>
      <c r="B40" s="853"/>
      <c r="C40" s="898" t="s">
        <v>659</v>
      </c>
      <c r="D40" s="899" t="s">
        <v>588</v>
      </c>
      <c r="E40" s="900" t="s">
        <v>589</v>
      </c>
      <c r="F40" s="901" t="s">
        <v>416</v>
      </c>
      <c r="G40" s="869"/>
      <c r="H40" s="852"/>
      <c r="I40" s="852"/>
      <c r="J40" s="852"/>
      <c r="K40" s="852"/>
      <c r="L40" s="852"/>
      <c r="M40" s="852"/>
      <c r="N40" s="852"/>
      <c r="O40" s="852"/>
      <c r="P40" s="79" t="s">
        <v>89</v>
      </c>
      <c r="Q40" s="78"/>
      <c r="R40" s="78"/>
      <c r="S40" s="78"/>
      <c r="T40" s="78"/>
      <c r="U40" s="852"/>
      <c r="V40" s="852"/>
    </row>
    <row r="41" customFormat="false" ht="14.25" hidden="false" customHeight="false" outlineLevel="0" collapsed="false">
      <c r="A41" s="852"/>
      <c r="B41" s="853"/>
      <c r="C41" s="865"/>
      <c r="D41" s="866"/>
      <c r="E41" s="867"/>
      <c r="F41" s="868"/>
      <c r="G41" s="869"/>
      <c r="H41" s="852"/>
      <c r="I41" s="852"/>
      <c r="J41" s="852"/>
      <c r="K41" s="852"/>
      <c r="L41" s="852"/>
      <c r="M41" s="852"/>
      <c r="N41" s="852"/>
      <c r="O41" s="852"/>
      <c r="P41" s="79" t="s">
        <v>90</v>
      </c>
      <c r="Q41" s="78"/>
      <c r="R41" s="78"/>
      <c r="S41" s="78"/>
      <c r="T41" s="117"/>
      <c r="U41" s="852"/>
      <c r="V41" s="852"/>
    </row>
    <row r="42" customFormat="false" ht="14.25" hidden="false" customHeight="false" outlineLevel="0" collapsed="false">
      <c r="A42" s="852"/>
      <c r="B42" s="853"/>
      <c r="C42" s="870"/>
      <c r="D42" s="871"/>
      <c r="E42" s="872"/>
      <c r="F42" s="873"/>
      <c r="G42" s="869"/>
      <c r="H42" s="852"/>
      <c r="I42" s="852"/>
      <c r="J42" s="852"/>
      <c r="K42" s="852"/>
      <c r="L42" s="852"/>
      <c r="M42" s="852"/>
      <c r="N42" s="852"/>
      <c r="O42" s="852"/>
      <c r="P42" s="79" t="s">
        <v>192</v>
      </c>
      <c r="Q42" s="78"/>
      <c r="R42" s="78"/>
      <c r="S42" s="78"/>
      <c r="T42" s="78"/>
      <c r="U42" s="852"/>
      <c r="V42" s="852"/>
    </row>
    <row r="43" customFormat="false" ht="14.25" hidden="false" customHeight="false" outlineLevel="0" collapsed="false">
      <c r="A43" s="852"/>
      <c r="B43" s="853"/>
      <c r="C43" s="870"/>
      <c r="D43" s="871"/>
      <c r="E43" s="872"/>
      <c r="F43" s="873"/>
      <c r="G43" s="869"/>
      <c r="H43" s="852"/>
      <c r="I43" s="852"/>
      <c r="J43" s="852"/>
      <c r="K43" s="852"/>
      <c r="L43" s="852"/>
      <c r="M43" s="852"/>
      <c r="N43" s="852"/>
      <c r="O43" s="852"/>
      <c r="P43" s="79" t="s">
        <v>91</v>
      </c>
      <c r="Q43" s="78"/>
      <c r="R43" s="78"/>
      <c r="S43" s="78"/>
      <c r="T43" s="78"/>
      <c r="U43" s="852"/>
      <c r="V43" s="852"/>
    </row>
    <row r="44" customFormat="false" ht="14.25" hidden="false" customHeight="false" outlineLevel="0" collapsed="false">
      <c r="A44" s="852"/>
      <c r="B44" s="853"/>
      <c r="C44" s="870"/>
      <c r="D44" s="871"/>
      <c r="E44" s="872"/>
      <c r="F44" s="873"/>
      <c r="G44" s="869"/>
      <c r="H44" s="852"/>
      <c r="I44" s="852"/>
      <c r="J44" s="852"/>
      <c r="K44" s="852"/>
      <c r="L44" s="852"/>
      <c r="M44" s="852"/>
      <c r="N44" s="852"/>
      <c r="O44" s="852"/>
      <c r="P44" s="78"/>
      <c r="Q44" s="78"/>
      <c r="R44" s="78"/>
      <c r="S44" s="78"/>
      <c r="T44" s="78"/>
      <c r="U44" s="852"/>
      <c r="V44" s="852"/>
    </row>
    <row r="45" customFormat="false" ht="14.25" hidden="false" customHeight="false" outlineLevel="0" collapsed="false">
      <c r="A45" s="852"/>
      <c r="B45" s="853"/>
      <c r="C45" s="870"/>
      <c r="D45" s="871"/>
      <c r="E45" s="872"/>
      <c r="F45" s="873"/>
      <c r="G45" s="869"/>
      <c r="H45" s="852"/>
      <c r="I45" s="852"/>
      <c r="J45" s="852"/>
      <c r="K45" s="852"/>
      <c r="L45" s="852"/>
      <c r="M45" s="852"/>
      <c r="N45" s="852"/>
      <c r="O45" s="852"/>
      <c r="P45" s="78"/>
      <c r="Q45" s="78"/>
      <c r="R45" s="78"/>
      <c r="S45" s="78"/>
      <c r="T45" s="78"/>
      <c r="U45" s="852"/>
      <c r="V45" s="852"/>
    </row>
    <row r="46" customFormat="false" ht="14.25" hidden="false" customHeight="false" outlineLevel="0" collapsed="false">
      <c r="A46" s="852"/>
      <c r="B46" s="853"/>
      <c r="C46" s="870"/>
      <c r="D46" s="871"/>
      <c r="E46" s="872"/>
      <c r="F46" s="873"/>
      <c r="G46" s="869"/>
      <c r="H46" s="852"/>
      <c r="I46" s="852"/>
      <c r="J46" s="852"/>
      <c r="K46" s="852"/>
      <c r="L46" s="852"/>
      <c r="M46" s="852"/>
      <c r="N46" s="852"/>
      <c r="O46" s="852"/>
      <c r="Q46" s="78"/>
      <c r="R46" s="78"/>
      <c r="S46" s="78"/>
      <c r="T46" s="78"/>
      <c r="U46" s="852"/>
      <c r="V46" s="852"/>
    </row>
    <row r="47" customFormat="false" ht="14.25" hidden="false" customHeight="false" outlineLevel="0" collapsed="false">
      <c r="A47" s="852"/>
      <c r="B47" s="853"/>
      <c r="C47" s="870"/>
      <c r="D47" s="871"/>
      <c r="E47" s="872"/>
      <c r="F47" s="873"/>
      <c r="G47" s="869"/>
      <c r="H47" s="852"/>
      <c r="I47" s="852"/>
      <c r="J47" s="852"/>
      <c r="K47" s="852"/>
      <c r="L47" s="852"/>
      <c r="M47" s="852"/>
      <c r="N47" s="852"/>
      <c r="O47" s="852"/>
      <c r="Q47" s="78"/>
      <c r="R47" s="78"/>
      <c r="S47" s="78"/>
      <c r="T47" s="78"/>
      <c r="U47" s="852"/>
      <c r="V47" s="852"/>
    </row>
    <row r="48" customFormat="false" ht="14.25" hidden="false" customHeight="false" outlineLevel="0" collapsed="false">
      <c r="A48" s="852"/>
      <c r="B48" s="853"/>
      <c r="C48" s="870"/>
      <c r="D48" s="871"/>
      <c r="E48" s="872"/>
      <c r="F48" s="873"/>
      <c r="G48" s="869"/>
      <c r="H48" s="852"/>
      <c r="I48" s="852"/>
      <c r="J48" s="852"/>
      <c r="K48" s="852"/>
      <c r="L48" s="852"/>
      <c r="M48" s="852"/>
      <c r="N48" s="852"/>
      <c r="O48" s="852"/>
      <c r="S48" s="78"/>
      <c r="U48" s="852"/>
      <c r="V48" s="852"/>
    </row>
    <row r="49" customFormat="false" ht="14.25" hidden="false" customHeight="false" outlineLevel="0" collapsed="false">
      <c r="A49" s="852"/>
      <c r="B49" s="853"/>
      <c r="C49" s="870"/>
      <c r="D49" s="871"/>
      <c r="E49" s="872"/>
      <c r="F49" s="873"/>
      <c r="G49" s="869"/>
      <c r="H49" s="874"/>
      <c r="I49" s="874"/>
      <c r="J49" s="874"/>
      <c r="K49" s="874"/>
      <c r="L49" s="874"/>
      <c r="M49" s="874"/>
      <c r="N49" s="874"/>
      <c r="O49" s="874"/>
      <c r="S49" s="78"/>
      <c r="U49" s="852"/>
      <c r="V49" s="852"/>
    </row>
    <row r="50" customFormat="false" ht="14.25" hidden="false" customHeight="false" outlineLevel="0" collapsed="false">
      <c r="A50" s="852"/>
      <c r="B50" s="853"/>
      <c r="C50" s="870"/>
      <c r="D50" s="871"/>
      <c r="E50" s="872"/>
      <c r="F50" s="873"/>
      <c r="G50" s="869"/>
      <c r="H50" s="852"/>
      <c r="I50" s="852"/>
      <c r="J50" s="852"/>
      <c r="K50" s="852"/>
      <c r="L50" s="852"/>
      <c r="M50" s="852"/>
      <c r="N50" s="852"/>
      <c r="O50" s="852"/>
      <c r="U50" s="852"/>
      <c r="V50" s="852"/>
    </row>
    <row r="51" customFormat="false" ht="14.25" hidden="false" customHeight="false" outlineLevel="0" collapsed="false">
      <c r="A51" s="818"/>
      <c r="B51" s="853"/>
      <c r="C51" s="894"/>
      <c r="D51" s="895"/>
      <c r="E51" s="902" t="s">
        <v>660</v>
      </c>
      <c r="F51" s="897" t="n">
        <f aca="false">SUM(F41:F50)</f>
        <v>0</v>
      </c>
      <c r="G51" s="869"/>
      <c r="H51" s="818"/>
      <c r="I51" s="818"/>
      <c r="J51" s="818"/>
      <c r="K51" s="818"/>
      <c r="L51" s="818"/>
      <c r="M51" s="818"/>
      <c r="N51" s="818"/>
      <c r="O51" s="818"/>
      <c r="U51" s="818"/>
      <c r="V51" s="818"/>
    </row>
    <row r="52" customFormat="false" ht="15" hidden="false" customHeight="false" outlineLevel="0" collapsed="false">
      <c r="A52" s="852"/>
      <c r="B52" s="853"/>
      <c r="C52" s="903" t="s">
        <v>661</v>
      </c>
      <c r="D52" s="903"/>
      <c r="E52" s="903"/>
      <c r="F52" s="904" t="n">
        <f aca="false">F39+F51</f>
        <v>10205.7</v>
      </c>
      <c r="G52" s="905"/>
      <c r="H52" s="852"/>
      <c r="I52" s="852"/>
      <c r="J52" s="852"/>
      <c r="K52" s="852"/>
      <c r="L52" s="852"/>
      <c r="M52" s="852"/>
      <c r="N52" s="852"/>
      <c r="O52" s="852"/>
      <c r="U52" s="852"/>
      <c r="V52" s="852"/>
    </row>
    <row r="53" customFormat="false" ht="14.25" hidden="false" customHeight="false" outlineLevel="0" collapsed="false">
      <c r="A53" s="852"/>
      <c r="B53" s="853"/>
      <c r="C53" s="876"/>
      <c r="D53" s="877"/>
      <c r="E53" s="906" t="s">
        <v>427</v>
      </c>
      <c r="F53" s="907" t="s">
        <v>662</v>
      </c>
      <c r="G53" s="880"/>
      <c r="H53" s="852"/>
      <c r="I53" s="852"/>
      <c r="J53" s="852"/>
      <c r="K53" s="852"/>
      <c r="L53" s="852"/>
      <c r="M53" s="852"/>
      <c r="N53" s="852"/>
      <c r="O53" s="852"/>
      <c r="U53" s="852"/>
      <c r="V53" s="852"/>
    </row>
    <row r="54" customFormat="false" ht="14.25" hidden="false" customHeight="false" outlineLevel="0" collapsed="false">
      <c r="A54" s="852"/>
      <c r="B54" s="853"/>
      <c r="C54" s="908" t="s">
        <v>663</v>
      </c>
      <c r="D54" s="908"/>
      <c r="E54" s="908"/>
      <c r="F54" s="908"/>
      <c r="G54" s="909"/>
      <c r="H54" s="852"/>
      <c r="I54" s="852"/>
      <c r="J54" s="852"/>
      <c r="K54" s="852"/>
      <c r="L54" s="852"/>
      <c r="M54" s="852"/>
      <c r="N54" s="852"/>
      <c r="O54" s="852"/>
      <c r="U54" s="852"/>
      <c r="V54" s="852"/>
    </row>
    <row r="55" customFormat="false" ht="14.25" hidden="false" customHeight="false" outlineLevel="0" collapsed="false">
      <c r="A55" s="852"/>
      <c r="B55" s="852"/>
      <c r="C55" s="852"/>
      <c r="D55" s="852"/>
      <c r="E55" s="852"/>
      <c r="F55" s="852"/>
      <c r="G55" s="852"/>
      <c r="H55" s="852"/>
      <c r="I55" s="852"/>
      <c r="J55" s="852"/>
      <c r="K55" s="852"/>
      <c r="L55" s="852"/>
      <c r="M55" s="852"/>
      <c r="N55" s="852"/>
      <c r="O55" s="852"/>
      <c r="U55" s="852"/>
      <c r="V55" s="852"/>
    </row>
  </sheetData>
  <sheetProtection algorithmName="SHA-512" hashValue="kpxzTacjJ1KbWGpR8BmfI2eCKHYIb489dYAdXp0J9+QfzwQ51SFFVXODkh44oujpDhLfTnfhFkVBJQG3YeIekQ==" saltValue="zvxp4SptOkFPvDJh2zN23A==" spinCount="100000" sheet="true" objects="true" scenarios="true"/>
  <mergeCells count="6">
    <mergeCell ref="C3:F3"/>
    <mergeCell ref="C4:F4"/>
    <mergeCell ref="C6:F6"/>
    <mergeCell ref="C8:G8"/>
    <mergeCell ref="C52:E52"/>
    <mergeCell ref="C54:F54"/>
  </mergeCells>
  <dataValidations count="2">
    <dataValidation allowBlank="true" error="Enter a dollar amount greater than zero." errorStyle="stop" operator="greaterThanOrEqual" showDropDown="false" showErrorMessage="true" showInputMessage="true" sqref="F11:F21 F29:F35 F41:F47" type="decimal">
      <formula1>0</formula1>
      <formula2>0</formula2>
    </dataValidation>
    <dataValidation allowBlank="true" error="Enter a date." errorStyle="stop" operator="greaterThan" showDropDown="false" showErrorMessage="true" showInputMessage="true" sqref="E11:E21 E29:E35 E41:E47" type="date">
      <formula1>36526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62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A2" activeCellId="0" sqref="A2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4" min="3" style="1" width="45.62"/>
    <col collapsed="false" customWidth="true" hidden="false" outlineLevel="0" max="5" min="5" style="1" width="15.62"/>
    <col collapsed="false" customWidth="true" hidden="false" outlineLevel="0" max="7" min="6" style="1" width="3.62"/>
    <col collapsed="false" customWidth="true" hidden="true" outlineLevel="0" max="14" min="8" style="1" width="11.53"/>
    <col collapsed="false" customWidth="true" hidden="false" outlineLevel="0" max="15" min="15" style="1" width="0.51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910"/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510"/>
    </row>
    <row r="2" customFormat="false" ht="14.25" hidden="false" customHeight="false" outlineLevel="0" collapsed="false">
      <c r="A2" s="510"/>
      <c r="B2" s="911"/>
      <c r="C2" s="81" t="str">
        <f aca="false">Contents!B59</f>
        <v>Version: AS L 6 LARGE locked LOCAL</v>
      </c>
      <c r="D2" s="911"/>
      <c r="E2" s="911"/>
      <c r="F2" s="911"/>
      <c r="G2" s="510"/>
      <c r="H2" s="510"/>
      <c r="I2" s="510"/>
      <c r="J2" s="510"/>
      <c r="K2" s="510"/>
      <c r="L2" s="510"/>
      <c r="M2" s="510"/>
      <c r="N2" s="510"/>
      <c r="O2" s="51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510"/>
    </row>
    <row r="3" customFormat="false" ht="14.25" hidden="false" customHeight="false" outlineLevel="0" collapsed="false">
      <c r="A3" s="912"/>
      <c r="B3" s="913"/>
      <c r="C3" s="914" t="str">
        <f aca="false">Contents!$E$3</f>
        <v>THE SOCIETY FOR CREATIVE ANACHRONISM, INC.</v>
      </c>
      <c r="D3" s="914"/>
      <c r="E3" s="914"/>
      <c r="F3" s="915"/>
      <c r="G3" s="912"/>
      <c r="H3" s="912"/>
      <c r="I3" s="912"/>
      <c r="J3" s="912"/>
      <c r="K3" s="912"/>
      <c r="L3" s="912"/>
      <c r="M3" s="912"/>
      <c r="N3" s="912"/>
      <c r="O3" s="912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912"/>
    </row>
    <row r="4" customFormat="false" ht="14.25" hidden="false" customHeight="false" outlineLevel="0" collapsed="false">
      <c r="A4" s="510"/>
      <c r="B4" s="913"/>
      <c r="C4" s="914" t="str">
        <f aca="false">Contents!$E$4</f>
        <v>FINANCIAL REPORT</v>
      </c>
      <c r="D4" s="914"/>
      <c r="E4" s="914"/>
      <c r="F4" s="915"/>
      <c r="G4" s="510"/>
      <c r="H4" s="510"/>
      <c r="I4" s="510"/>
      <c r="J4" s="510"/>
      <c r="K4" s="510"/>
      <c r="L4" s="510"/>
      <c r="M4" s="510"/>
      <c r="N4" s="510"/>
      <c r="O4" s="51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510"/>
    </row>
    <row r="5" customFormat="false" ht="14.25" hidden="false" customHeight="false" outlineLevel="0" collapsed="false">
      <c r="A5" s="510"/>
      <c r="B5" s="911"/>
      <c r="C5" s="911"/>
      <c r="D5" s="911"/>
      <c r="E5" s="911"/>
      <c r="F5" s="911"/>
      <c r="G5" s="510"/>
      <c r="H5" s="510"/>
      <c r="I5" s="510"/>
      <c r="J5" s="510"/>
      <c r="K5" s="510"/>
      <c r="L5" s="510"/>
      <c r="M5" s="510"/>
      <c r="N5" s="510"/>
      <c r="O5" s="51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510"/>
    </row>
    <row r="6" customFormat="false" ht="14.25" hidden="false" customHeight="false" outlineLevel="0" collapsed="false">
      <c r="A6" s="510"/>
      <c r="B6" s="911"/>
      <c r="C6" s="916" t="str">
        <f aca="false">Contents!B58</f>
        <v>Branch:   SCA, Inc.- Middle Kingdom                                               Period:  1/01/2025             to     12/31/2025            .</v>
      </c>
      <c r="D6" s="916"/>
      <c r="E6" s="916"/>
      <c r="F6" s="911"/>
      <c r="G6" s="510"/>
      <c r="H6" s="510"/>
      <c r="I6" s="510"/>
      <c r="J6" s="510"/>
      <c r="K6" s="510"/>
      <c r="L6" s="510"/>
      <c r="M6" s="510"/>
      <c r="N6" s="510"/>
      <c r="O6" s="510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510"/>
    </row>
    <row r="7" customFormat="false" ht="14.25" hidden="false" customHeight="false" outlineLevel="0" collapsed="false">
      <c r="A7" s="510"/>
      <c r="B7" s="911"/>
      <c r="C7" s="911"/>
      <c r="D7" s="911"/>
      <c r="E7" s="911"/>
      <c r="F7" s="911"/>
      <c r="G7" s="510"/>
      <c r="H7" s="510"/>
      <c r="I7" s="510"/>
      <c r="J7" s="510"/>
      <c r="K7" s="510"/>
      <c r="L7" s="510"/>
      <c r="M7" s="510"/>
      <c r="N7" s="510"/>
      <c r="O7" s="51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510"/>
    </row>
    <row r="8" customFormat="false" ht="17.35" hidden="false" customHeight="false" outlineLevel="0" collapsed="false">
      <c r="A8" s="510"/>
      <c r="B8" s="911"/>
      <c r="C8" s="917" t="s">
        <v>664</v>
      </c>
      <c r="D8" s="917"/>
      <c r="E8" s="917"/>
      <c r="F8" s="917"/>
      <c r="G8" s="510"/>
      <c r="H8" s="510"/>
      <c r="I8" s="510"/>
      <c r="J8" s="510"/>
      <c r="K8" s="510"/>
      <c r="L8" s="510"/>
      <c r="M8" s="510"/>
      <c r="N8" s="510"/>
      <c r="O8" s="510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510"/>
    </row>
    <row r="9" customFormat="false" ht="14.25" hidden="false" customHeight="false" outlineLevel="0" collapsed="false">
      <c r="A9" s="510"/>
      <c r="B9" s="911"/>
      <c r="C9" s="911"/>
      <c r="D9" s="911"/>
      <c r="E9" s="911"/>
      <c r="F9" s="911"/>
      <c r="G9" s="510"/>
      <c r="H9" s="510"/>
      <c r="I9" s="510"/>
      <c r="J9" s="510"/>
      <c r="K9" s="510"/>
      <c r="L9" s="510"/>
      <c r="M9" s="510"/>
      <c r="N9" s="510"/>
      <c r="O9" s="51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510"/>
    </row>
    <row r="10" customFormat="false" ht="15" hidden="false" customHeight="false" outlineLevel="0" collapsed="false">
      <c r="A10" s="510"/>
      <c r="B10" s="911"/>
      <c r="C10" s="918" t="s">
        <v>665</v>
      </c>
      <c r="D10" s="919" t="s">
        <v>666</v>
      </c>
      <c r="E10" s="920" t="s">
        <v>416</v>
      </c>
      <c r="F10" s="921"/>
      <c r="G10" s="510"/>
      <c r="H10" s="510"/>
      <c r="I10" s="510"/>
      <c r="J10" s="510"/>
      <c r="K10" s="510"/>
      <c r="L10" s="510"/>
      <c r="M10" s="510"/>
      <c r="N10" s="510"/>
      <c r="O10" s="51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510"/>
    </row>
    <row r="11" customFormat="false" ht="14.25" hidden="false" customHeight="false" outlineLevel="0" collapsed="false">
      <c r="A11" s="510"/>
      <c r="B11" s="911"/>
      <c r="C11" s="922" t="s">
        <v>667</v>
      </c>
      <c r="D11" s="923" t="s">
        <v>668</v>
      </c>
      <c r="E11" s="924" t="n">
        <v>1060</v>
      </c>
      <c r="F11" s="925"/>
      <c r="G11" s="510"/>
      <c r="H11" s="510"/>
      <c r="I11" s="510"/>
      <c r="J11" s="510"/>
      <c r="K11" s="510"/>
      <c r="L11" s="510"/>
      <c r="M11" s="510"/>
      <c r="N11" s="510"/>
      <c r="O11" s="51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510"/>
    </row>
    <row r="12" customFormat="false" ht="14.25" hidden="false" customHeight="false" outlineLevel="0" collapsed="false">
      <c r="A12" s="510"/>
      <c r="B12" s="911"/>
      <c r="C12" s="926" t="s">
        <v>669</v>
      </c>
      <c r="D12" s="927" t="s">
        <v>669</v>
      </c>
      <c r="E12" s="928" t="n">
        <v>125</v>
      </c>
      <c r="F12" s="925"/>
      <c r="G12" s="510"/>
      <c r="H12" s="510"/>
      <c r="I12" s="510"/>
      <c r="J12" s="510"/>
      <c r="K12" s="510"/>
      <c r="L12" s="510"/>
      <c r="M12" s="510"/>
      <c r="N12" s="510"/>
      <c r="O12" s="510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510"/>
    </row>
    <row r="13" customFormat="false" ht="14.25" hidden="false" customHeight="false" outlineLevel="0" collapsed="false">
      <c r="A13" s="510"/>
      <c r="B13" s="911"/>
      <c r="C13" s="926" t="s">
        <v>670</v>
      </c>
      <c r="D13" s="927" t="s">
        <v>671</v>
      </c>
      <c r="E13" s="928" t="n">
        <v>901</v>
      </c>
      <c r="F13" s="925"/>
      <c r="G13" s="510"/>
      <c r="H13" s="510"/>
      <c r="I13" s="510"/>
      <c r="J13" s="510"/>
      <c r="K13" s="510"/>
      <c r="L13" s="510"/>
      <c r="M13" s="510"/>
      <c r="N13" s="510"/>
      <c r="O13" s="51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510"/>
    </row>
    <row r="14" customFormat="false" ht="14.25" hidden="false" customHeight="false" outlineLevel="0" collapsed="false">
      <c r="A14" s="510"/>
      <c r="B14" s="911"/>
      <c r="C14" s="926"/>
      <c r="D14" s="927"/>
      <c r="E14" s="928"/>
      <c r="F14" s="925"/>
      <c r="G14" s="510"/>
      <c r="H14" s="510"/>
      <c r="I14" s="510"/>
      <c r="J14" s="510"/>
      <c r="K14" s="510"/>
      <c r="L14" s="510"/>
      <c r="M14" s="510"/>
      <c r="N14" s="510"/>
      <c r="O14" s="51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510"/>
    </row>
    <row r="15" customFormat="false" ht="14.25" hidden="false" customHeight="false" outlineLevel="0" collapsed="false">
      <c r="A15" s="510"/>
      <c r="B15" s="911"/>
      <c r="C15" s="926"/>
      <c r="D15" s="927"/>
      <c r="E15" s="928"/>
      <c r="F15" s="925"/>
      <c r="G15" s="510"/>
      <c r="H15" s="510"/>
      <c r="I15" s="510"/>
      <c r="J15" s="510"/>
      <c r="K15" s="510"/>
      <c r="L15" s="510"/>
      <c r="M15" s="510"/>
      <c r="N15" s="510"/>
      <c r="O15" s="51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510"/>
    </row>
    <row r="16" customFormat="false" ht="14.25" hidden="false" customHeight="false" outlineLevel="0" collapsed="false">
      <c r="A16" s="510"/>
      <c r="B16" s="911"/>
      <c r="C16" s="926"/>
      <c r="D16" s="927"/>
      <c r="E16" s="928"/>
      <c r="F16" s="925"/>
      <c r="G16" s="510"/>
      <c r="H16" s="510"/>
      <c r="I16" s="510"/>
      <c r="J16" s="510"/>
      <c r="K16" s="510"/>
      <c r="L16" s="510"/>
      <c r="M16" s="510"/>
      <c r="N16" s="510"/>
      <c r="O16" s="51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510"/>
    </row>
    <row r="17" customFormat="false" ht="14.25" hidden="false" customHeight="false" outlineLevel="0" collapsed="false">
      <c r="A17" s="510"/>
      <c r="B17" s="911"/>
      <c r="C17" s="926"/>
      <c r="D17" s="927"/>
      <c r="E17" s="928"/>
      <c r="F17" s="925"/>
      <c r="G17" s="510"/>
      <c r="H17" s="510"/>
      <c r="I17" s="510"/>
      <c r="J17" s="510"/>
      <c r="K17" s="510"/>
      <c r="L17" s="510"/>
      <c r="M17" s="510"/>
      <c r="N17" s="510"/>
      <c r="O17" s="51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510"/>
    </row>
    <row r="18" customFormat="false" ht="14.25" hidden="false" customHeight="false" outlineLevel="0" collapsed="false">
      <c r="A18" s="510"/>
      <c r="B18" s="911"/>
      <c r="C18" s="926"/>
      <c r="D18" s="927"/>
      <c r="E18" s="928"/>
      <c r="F18" s="925"/>
      <c r="G18" s="510"/>
      <c r="H18" s="510"/>
      <c r="I18" s="510"/>
      <c r="J18" s="510"/>
      <c r="K18" s="510"/>
      <c r="L18" s="510"/>
      <c r="M18" s="510"/>
      <c r="N18" s="510"/>
      <c r="O18" s="510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510"/>
    </row>
    <row r="19" customFormat="false" ht="14.25" hidden="false" customHeight="false" outlineLevel="0" collapsed="false">
      <c r="A19" s="510"/>
      <c r="B19" s="911"/>
      <c r="C19" s="929"/>
      <c r="D19" s="930"/>
      <c r="E19" s="924"/>
      <c r="F19" s="925"/>
      <c r="G19" s="931"/>
      <c r="H19" s="931"/>
      <c r="I19" s="931"/>
      <c r="J19" s="931"/>
      <c r="K19" s="931"/>
      <c r="L19" s="931"/>
      <c r="M19" s="931"/>
      <c r="N19" s="931"/>
      <c r="O19" s="931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510"/>
    </row>
    <row r="20" customFormat="false" ht="14.25" hidden="false" customHeight="false" outlineLevel="0" collapsed="false">
      <c r="A20" s="510"/>
      <c r="B20" s="911"/>
      <c r="C20" s="932"/>
      <c r="D20" s="933" t="s">
        <v>672</v>
      </c>
      <c r="E20" s="934" t="n">
        <f aca="false">SUM(E11:E19)</f>
        <v>2086</v>
      </c>
      <c r="F20" s="925"/>
      <c r="G20" s="510"/>
      <c r="H20" s="510"/>
      <c r="I20" s="510"/>
      <c r="J20" s="510"/>
      <c r="K20" s="510"/>
      <c r="L20" s="510"/>
      <c r="M20" s="510"/>
      <c r="N20" s="510"/>
      <c r="O20" s="510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510"/>
    </row>
    <row r="21" customFormat="false" ht="14.25" hidden="false" customHeight="false" outlineLevel="0" collapsed="false">
      <c r="A21" s="935"/>
      <c r="B21" s="911"/>
      <c r="C21" s="911"/>
      <c r="D21" s="911"/>
      <c r="E21" s="936"/>
      <c r="F21" s="925"/>
      <c r="G21" s="935"/>
      <c r="H21" s="935"/>
      <c r="I21" s="935"/>
      <c r="J21" s="935"/>
      <c r="K21" s="935"/>
      <c r="L21" s="935"/>
      <c r="M21" s="935"/>
      <c r="N21" s="935"/>
      <c r="O21" s="935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935"/>
    </row>
    <row r="22" customFormat="false" ht="14.25" hidden="false" customHeight="false" outlineLevel="0" collapsed="false">
      <c r="A22" s="510"/>
      <c r="B22" s="937"/>
      <c r="C22" s="938" t="s">
        <v>673</v>
      </c>
      <c r="D22" s="939" t="s">
        <v>674</v>
      </c>
      <c r="E22" s="920" t="s">
        <v>416</v>
      </c>
      <c r="F22" s="937"/>
      <c r="G22" s="510"/>
      <c r="H22" s="510"/>
      <c r="I22" s="510"/>
      <c r="J22" s="510"/>
      <c r="K22" s="510"/>
      <c r="L22" s="510"/>
      <c r="M22" s="510"/>
      <c r="N22" s="510"/>
      <c r="O22" s="510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510"/>
    </row>
    <row r="23" customFormat="false" ht="14.25" hidden="false" customHeight="false" outlineLevel="0" collapsed="false">
      <c r="A23" s="510"/>
      <c r="B23" s="911"/>
      <c r="C23" s="922"/>
      <c r="D23" s="940"/>
      <c r="E23" s="924"/>
      <c r="F23" s="925"/>
      <c r="G23" s="510"/>
      <c r="H23" s="510"/>
      <c r="I23" s="510"/>
      <c r="J23" s="510"/>
      <c r="K23" s="510"/>
      <c r="L23" s="510"/>
      <c r="M23" s="510"/>
      <c r="N23" s="510"/>
      <c r="O23" s="510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510"/>
    </row>
    <row r="24" customFormat="false" ht="14.25" hidden="false" customHeight="false" outlineLevel="0" collapsed="false">
      <c r="A24" s="510"/>
      <c r="B24" s="911"/>
      <c r="C24" s="926"/>
      <c r="D24" s="941"/>
      <c r="E24" s="928"/>
      <c r="F24" s="925"/>
      <c r="G24" s="510"/>
      <c r="H24" s="510"/>
      <c r="I24" s="510"/>
      <c r="J24" s="510"/>
      <c r="K24" s="510"/>
      <c r="L24" s="510"/>
      <c r="M24" s="510"/>
      <c r="N24" s="510"/>
      <c r="O24" s="510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510"/>
    </row>
    <row r="25" customFormat="false" ht="14.25" hidden="false" customHeight="false" outlineLevel="0" collapsed="false">
      <c r="A25" s="510"/>
      <c r="B25" s="911"/>
      <c r="C25" s="926"/>
      <c r="D25" s="941"/>
      <c r="E25" s="928"/>
      <c r="F25" s="925"/>
      <c r="G25" s="510"/>
      <c r="H25" s="510"/>
      <c r="I25" s="510"/>
      <c r="J25" s="510"/>
      <c r="K25" s="510"/>
      <c r="L25" s="510"/>
      <c r="M25" s="510"/>
      <c r="N25" s="510"/>
      <c r="O25" s="510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510"/>
    </row>
    <row r="26" customFormat="false" ht="14.25" hidden="false" customHeight="false" outlineLevel="0" collapsed="false">
      <c r="A26" s="510"/>
      <c r="B26" s="911"/>
      <c r="C26" s="926"/>
      <c r="D26" s="941"/>
      <c r="E26" s="928"/>
      <c r="F26" s="925"/>
      <c r="G26" s="510"/>
      <c r="H26" s="510"/>
      <c r="I26" s="510"/>
      <c r="J26" s="510"/>
      <c r="K26" s="510"/>
      <c r="L26" s="510"/>
      <c r="M26" s="510"/>
      <c r="N26" s="510"/>
      <c r="O26" s="510"/>
      <c r="P26" s="79" t="s">
        <v>174</v>
      </c>
      <c r="Q26" s="78"/>
      <c r="R26" s="78"/>
      <c r="S26" s="79" t="s">
        <v>83</v>
      </c>
      <c r="T26" s="79" t="s">
        <v>174</v>
      </c>
      <c r="U26" s="510"/>
    </row>
    <row r="27" customFormat="false" ht="14.25" hidden="false" customHeight="false" outlineLevel="0" collapsed="false">
      <c r="A27" s="510"/>
      <c r="B27" s="911"/>
      <c r="C27" s="926"/>
      <c r="D27" s="941"/>
      <c r="E27" s="928"/>
      <c r="F27" s="925"/>
      <c r="G27" s="510"/>
      <c r="H27" s="510"/>
      <c r="I27" s="510"/>
      <c r="J27" s="510"/>
      <c r="K27" s="510"/>
      <c r="L27" s="510"/>
      <c r="M27" s="510"/>
      <c r="N27" s="510"/>
      <c r="O27" s="510"/>
      <c r="P27" s="79" t="s">
        <v>177</v>
      </c>
      <c r="Q27" s="78"/>
      <c r="R27" s="78"/>
      <c r="S27" s="79" t="s">
        <v>85</v>
      </c>
      <c r="T27" s="79" t="s">
        <v>76</v>
      </c>
      <c r="U27" s="510"/>
    </row>
    <row r="28" customFormat="false" ht="14.25" hidden="false" customHeight="false" outlineLevel="0" collapsed="false">
      <c r="A28" s="510"/>
      <c r="B28" s="911"/>
      <c r="C28" s="926"/>
      <c r="D28" s="941"/>
      <c r="E28" s="928"/>
      <c r="F28" s="925"/>
      <c r="G28" s="931"/>
      <c r="H28" s="931"/>
      <c r="I28" s="931"/>
      <c r="J28" s="931"/>
      <c r="K28" s="931"/>
      <c r="L28" s="931"/>
      <c r="M28" s="931"/>
      <c r="N28" s="931"/>
      <c r="O28" s="931"/>
      <c r="P28" s="79" t="s">
        <v>178</v>
      </c>
      <c r="Q28" s="78"/>
      <c r="R28" s="78"/>
      <c r="S28" s="79" t="s">
        <v>86</v>
      </c>
      <c r="T28" s="79" t="s">
        <v>78</v>
      </c>
      <c r="U28" s="510"/>
    </row>
    <row r="29" customFormat="false" ht="14.25" hidden="false" customHeight="false" outlineLevel="0" collapsed="false">
      <c r="A29" s="510"/>
      <c r="B29" s="911"/>
      <c r="C29" s="929"/>
      <c r="D29" s="942"/>
      <c r="E29" s="924"/>
      <c r="F29" s="925"/>
      <c r="G29" s="510"/>
      <c r="H29" s="510"/>
      <c r="I29" s="510"/>
      <c r="J29" s="510"/>
      <c r="K29" s="510"/>
      <c r="L29" s="510"/>
      <c r="M29" s="510"/>
      <c r="N29" s="510"/>
      <c r="O29" s="510"/>
      <c r="P29" s="79" t="s">
        <v>179</v>
      </c>
      <c r="Q29" s="78"/>
      <c r="R29" s="78"/>
      <c r="S29" s="79" t="s">
        <v>87</v>
      </c>
      <c r="T29" s="79" t="s">
        <v>79</v>
      </c>
      <c r="U29" s="510"/>
    </row>
    <row r="30" customFormat="false" ht="14.25" hidden="false" customHeight="false" outlineLevel="0" collapsed="false">
      <c r="A30" s="510"/>
      <c r="B30" s="911"/>
      <c r="C30" s="932"/>
      <c r="D30" s="933" t="s">
        <v>675</v>
      </c>
      <c r="E30" s="934" t="n">
        <f aca="false">SUM(E23:E29)</f>
        <v>0</v>
      </c>
      <c r="F30" s="925"/>
      <c r="G30" s="510"/>
      <c r="H30" s="510"/>
      <c r="I30" s="510"/>
      <c r="J30" s="510"/>
      <c r="K30" s="510"/>
      <c r="L30" s="510"/>
      <c r="M30" s="510"/>
      <c r="N30" s="510"/>
      <c r="O30" s="510"/>
      <c r="P30" s="79" t="s">
        <v>180</v>
      </c>
      <c r="Q30" s="78"/>
      <c r="R30" s="78"/>
      <c r="S30" s="79" t="s">
        <v>91</v>
      </c>
      <c r="T30" s="79" t="s">
        <v>81</v>
      </c>
      <c r="U30" s="510"/>
    </row>
    <row r="31" customFormat="false" ht="14.25" hidden="false" customHeight="false" outlineLevel="0" collapsed="false">
      <c r="A31" s="510"/>
      <c r="B31" s="911"/>
      <c r="C31" s="943"/>
      <c r="D31" s="944"/>
      <c r="E31" s="945"/>
      <c r="F31" s="925"/>
      <c r="G31" s="510"/>
      <c r="H31" s="510"/>
      <c r="I31" s="510"/>
      <c r="J31" s="510"/>
      <c r="K31" s="510"/>
      <c r="L31" s="510"/>
      <c r="M31" s="510"/>
      <c r="N31" s="510"/>
      <c r="O31" s="510"/>
      <c r="P31" s="79" t="s">
        <v>181</v>
      </c>
      <c r="Q31" s="78"/>
      <c r="R31" s="78"/>
      <c r="S31" s="78"/>
      <c r="T31" s="79" t="s">
        <v>83</v>
      </c>
      <c r="U31" s="510"/>
    </row>
    <row r="32" customFormat="false" ht="14.25" hidden="false" customHeight="false" outlineLevel="0" collapsed="false">
      <c r="A32" s="510"/>
      <c r="B32" s="911"/>
      <c r="C32" s="946"/>
      <c r="D32" s="946"/>
      <c r="E32" s="936"/>
      <c r="F32" s="925"/>
      <c r="G32" s="510"/>
      <c r="H32" s="510"/>
      <c r="I32" s="510"/>
      <c r="J32" s="510"/>
      <c r="K32" s="510"/>
      <c r="L32" s="510"/>
      <c r="M32" s="510"/>
      <c r="N32" s="510"/>
      <c r="O32" s="510"/>
      <c r="P32" s="79" t="s">
        <v>76</v>
      </c>
      <c r="Q32" s="78"/>
      <c r="R32" s="78"/>
      <c r="S32" s="78"/>
      <c r="T32" s="79" t="s">
        <v>85</v>
      </c>
      <c r="U32" s="510"/>
    </row>
    <row r="33" customFormat="false" ht="15" hidden="false" customHeight="false" outlineLevel="0" collapsed="false">
      <c r="A33" s="510"/>
      <c r="B33" s="911"/>
      <c r="C33" s="947" t="s">
        <v>676</v>
      </c>
      <c r="D33" s="947"/>
      <c r="E33" s="948" t="s">
        <v>416</v>
      </c>
      <c r="F33" s="949"/>
      <c r="G33" s="510"/>
      <c r="H33" s="510"/>
      <c r="I33" s="510"/>
      <c r="J33" s="510"/>
      <c r="K33" s="510"/>
      <c r="L33" s="510"/>
      <c r="M33" s="510"/>
      <c r="N33" s="510"/>
      <c r="O33" s="510"/>
      <c r="P33" s="79" t="s">
        <v>78</v>
      </c>
      <c r="Q33" s="78"/>
      <c r="R33" s="78"/>
      <c r="S33" s="78"/>
      <c r="T33" s="79" t="s">
        <v>86</v>
      </c>
      <c r="U33" s="510"/>
    </row>
    <row r="34" customFormat="false" ht="14.25" hidden="false" customHeight="false" outlineLevel="0" collapsed="false">
      <c r="A34" s="510"/>
      <c r="B34" s="911"/>
      <c r="C34" s="950" t="s">
        <v>677</v>
      </c>
      <c r="D34" s="950"/>
      <c r="E34" s="951" t="n">
        <f aca="false">INCOME_DTL_11c!G24+INCOME_DTL_11c!G66</f>
        <v>8369.97</v>
      </c>
      <c r="F34" s="925"/>
      <c r="G34" s="510"/>
      <c r="H34" s="510"/>
      <c r="I34" s="510"/>
      <c r="J34" s="510"/>
      <c r="K34" s="510"/>
      <c r="L34" s="510"/>
      <c r="M34" s="510"/>
      <c r="N34" s="510"/>
      <c r="O34" s="510"/>
      <c r="P34" s="79" t="s">
        <v>79</v>
      </c>
      <c r="Q34" s="78"/>
      <c r="R34" s="78"/>
      <c r="S34" s="78"/>
      <c r="T34" s="79" t="s">
        <v>87</v>
      </c>
      <c r="U34" s="510"/>
    </row>
    <row r="35" customFormat="false" ht="14.25" hidden="false" customHeight="false" outlineLevel="0" collapsed="false">
      <c r="A35" s="510"/>
      <c r="B35" s="911"/>
      <c r="C35" s="952"/>
      <c r="D35" s="952"/>
      <c r="E35" s="953"/>
      <c r="F35" s="925"/>
      <c r="G35" s="510"/>
      <c r="H35" s="510"/>
      <c r="I35" s="510"/>
      <c r="J35" s="510"/>
      <c r="K35" s="510"/>
      <c r="L35" s="510"/>
      <c r="M35" s="510"/>
      <c r="N35" s="510"/>
      <c r="O35" s="510"/>
      <c r="P35" s="79" t="s">
        <v>81</v>
      </c>
      <c r="Q35" s="78"/>
      <c r="R35" s="78"/>
      <c r="S35" s="78"/>
      <c r="T35" s="79" t="s">
        <v>89</v>
      </c>
      <c r="U35" s="510"/>
    </row>
    <row r="36" customFormat="false" ht="14.25" hidden="false" customHeight="false" outlineLevel="0" collapsed="false">
      <c r="A36" s="510"/>
      <c r="B36" s="911"/>
      <c r="C36" s="932"/>
      <c r="D36" s="933" t="s">
        <v>678</v>
      </c>
      <c r="E36" s="934" t="n">
        <f aca="false">SUM(E34:E35)</f>
        <v>8369.97</v>
      </c>
      <c r="F36" s="925"/>
      <c r="G36" s="510"/>
      <c r="H36" s="510"/>
      <c r="I36" s="510"/>
      <c r="J36" s="510"/>
      <c r="K36" s="510"/>
      <c r="L36" s="510"/>
      <c r="M36" s="510"/>
      <c r="N36" s="510"/>
      <c r="O36" s="510"/>
      <c r="P36" s="79" t="s">
        <v>83</v>
      </c>
      <c r="Q36" s="78"/>
      <c r="R36" s="78"/>
      <c r="S36" s="78"/>
      <c r="T36" s="79" t="s">
        <v>90</v>
      </c>
      <c r="U36" s="510"/>
    </row>
    <row r="37" customFormat="false" ht="14.25" hidden="false" customHeight="false" outlineLevel="0" collapsed="false">
      <c r="A37" s="510"/>
      <c r="B37" s="911"/>
      <c r="C37" s="911"/>
      <c r="D37" s="954"/>
      <c r="E37" s="945"/>
      <c r="F37" s="925"/>
      <c r="G37" s="510"/>
      <c r="H37" s="510"/>
      <c r="I37" s="510"/>
      <c r="J37" s="510"/>
      <c r="K37" s="510"/>
      <c r="L37" s="510"/>
      <c r="M37" s="510"/>
      <c r="N37" s="510"/>
      <c r="O37" s="510"/>
      <c r="P37" s="79" t="s">
        <v>85</v>
      </c>
      <c r="Q37" s="78"/>
      <c r="R37" s="78"/>
      <c r="S37" s="78"/>
      <c r="T37" s="79" t="s">
        <v>192</v>
      </c>
      <c r="U37" s="510"/>
    </row>
    <row r="38" customFormat="false" ht="14.25" hidden="false" customHeight="false" outlineLevel="0" collapsed="false">
      <c r="A38" s="510"/>
      <c r="B38" s="911"/>
      <c r="C38" s="911"/>
      <c r="D38" s="911"/>
      <c r="E38" s="936"/>
      <c r="F38" s="925"/>
      <c r="G38" s="510"/>
      <c r="H38" s="510"/>
      <c r="I38" s="510"/>
      <c r="J38" s="510"/>
      <c r="K38" s="510"/>
      <c r="L38" s="510"/>
      <c r="M38" s="510"/>
      <c r="N38" s="510"/>
      <c r="O38" s="510"/>
      <c r="P38" s="79" t="s">
        <v>86</v>
      </c>
      <c r="Q38" s="78"/>
      <c r="R38" s="78"/>
      <c r="S38" s="78"/>
      <c r="T38" s="79" t="s">
        <v>91</v>
      </c>
      <c r="U38" s="510"/>
    </row>
    <row r="39" customFormat="false" ht="26.45" hidden="false" customHeight="false" outlineLevel="0" collapsed="false">
      <c r="A39" s="510"/>
      <c r="B39" s="911"/>
      <c r="C39" s="955" t="s">
        <v>679</v>
      </c>
      <c r="D39" s="939" t="s">
        <v>674</v>
      </c>
      <c r="E39" s="948" t="s">
        <v>416</v>
      </c>
      <c r="F39" s="925"/>
      <c r="G39" s="510"/>
      <c r="H39" s="510"/>
      <c r="I39" s="510"/>
      <c r="J39" s="510"/>
      <c r="K39" s="510"/>
      <c r="L39" s="510"/>
      <c r="M39" s="510"/>
      <c r="N39" s="510"/>
      <c r="O39" s="510"/>
      <c r="P39" s="79" t="s">
        <v>87</v>
      </c>
      <c r="Q39" s="78"/>
      <c r="R39" s="78"/>
      <c r="S39" s="78"/>
      <c r="T39" s="79"/>
      <c r="U39" s="510"/>
    </row>
    <row r="40" customFormat="false" ht="15" hidden="false" customHeight="false" outlineLevel="0" collapsed="false">
      <c r="A40" s="510"/>
      <c r="B40" s="911"/>
      <c r="C40" s="922"/>
      <c r="D40" s="956"/>
      <c r="E40" s="924"/>
      <c r="F40" s="949"/>
      <c r="G40" s="510"/>
      <c r="H40" s="510"/>
      <c r="I40" s="510"/>
      <c r="J40" s="510"/>
      <c r="K40" s="510"/>
      <c r="L40" s="510"/>
      <c r="M40" s="510"/>
      <c r="N40" s="510"/>
      <c r="O40" s="510"/>
      <c r="P40" s="79" t="s">
        <v>89</v>
      </c>
      <c r="Q40" s="78"/>
      <c r="R40" s="78"/>
      <c r="S40" s="78"/>
      <c r="T40" s="78"/>
      <c r="U40" s="510"/>
    </row>
    <row r="41" customFormat="false" ht="14.25" hidden="false" customHeight="false" outlineLevel="0" collapsed="false">
      <c r="A41" s="510"/>
      <c r="B41" s="911"/>
      <c r="C41" s="926"/>
      <c r="D41" s="957"/>
      <c r="E41" s="928"/>
      <c r="F41" s="925"/>
      <c r="G41" s="510"/>
      <c r="H41" s="510"/>
      <c r="I41" s="510"/>
      <c r="J41" s="510"/>
      <c r="K41" s="510"/>
      <c r="L41" s="510"/>
      <c r="M41" s="510"/>
      <c r="N41" s="510"/>
      <c r="O41" s="510"/>
      <c r="P41" s="79" t="s">
        <v>90</v>
      </c>
      <c r="Q41" s="78"/>
      <c r="R41" s="78"/>
      <c r="S41" s="78"/>
      <c r="T41" s="117"/>
      <c r="U41" s="510"/>
    </row>
    <row r="42" customFormat="false" ht="14.25" hidden="false" customHeight="false" outlineLevel="0" collapsed="false">
      <c r="A42" s="510"/>
      <c r="B42" s="911"/>
      <c r="C42" s="926"/>
      <c r="D42" s="957"/>
      <c r="E42" s="928"/>
      <c r="F42" s="925"/>
      <c r="G42" s="510"/>
      <c r="H42" s="510"/>
      <c r="I42" s="510"/>
      <c r="J42" s="510"/>
      <c r="K42" s="510"/>
      <c r="L42" s="510"/>
      <c r="M42" s="510"/>
      <c r="N42" s="510"/>
      <c r="O42" s="510"/>
      <c r="P42" s="79" t="s">
        <v>192</v>
      </c>
      <c r="Q42" s="78"/>
      <c r="R42" s="78"/>
      <c r="S42" s="78"/>
      <c r="T42" s="78"/>
      <c r="U42" s="510"/>
    </row>
    <row r="43" customFormat="false" ht="14.25" hidden="false" customHeight="false" outlineLevel="0" collapsed="false">
      <c r="A43" s="510"/>
      <c r="B43" s="911"/>
      <c r="C43" s="926"/>
      <c r="D43" s="957"/>
      <c r="E43" s="928"/>
      <c r="F43" s="925"/>
      <c r="G43" s="510"/>
      <c r="H43" s="510"/>
      <c r="I43" s="510"/>
      <c r="J43" s="510"/>
      <c r="K43" s="510"/>
      <c r="L43" s="510"/>
      <c r="M43" s="510"/>
      <c r="N43" s="510"/>
      <c r="O43" s="510"/>
      <c r="P43" s="79" t="s">
        <v>91</v>
      </c>
      <c r="Q43" s="78"/>
      <c r="R43" s="78"/>
      <c r="S43" s="78"/>
      <c r="T43" s="78"/>
      <c r="U43" s="510"/>
    </row>
    <row r="44" customFormat="false" ht="14.25" hidden="false" customHeight="false" outlineLevel="0" collapsed="false">
      <c r="A44" s="510"/>
      <c r="B44" s="911"/>
      <c r="C44" s="926"/>
      <c r="D44" s="957"/>
      <c r="E44" s="928"/>
      <c r="F44" s="925"/>
      <c r="G44" s="510"/>
      <c r="H44" s="510"/>
      <c r="I44" s="510"/>
      <c r="J44" s="510"/>
      <c r="K44" s="510"/>
      <c r="L44" s="510"/>
      <c r="M44" s="510"/>
      <c r="N44" s="510"/>
      <c r="O44" s="510"/>
      <c r="P44" s="78"/>
      <c r="Q44" s="78"/>
      <c r="R44" s="78"/>
      <c r="S44" s="78"/>
      <c r="T44" s="78"/>
      <c r="U44" s="510"/>
    </row>
    <row r="45" customFormat="false" ht="14.25" hidden="false" customHeight="false" outlineLevel="0" collapsed="false">
      <c r="A45" s="510"/>
      <c r="B45" s="911"/>
      <c r="C45" s="926"/>
      <c r="D45" s="957"/>
      <c r="E45" s="928"/>
      <c r="F45" s="925"/>
      <c r="G45" s="510"/>
      <c r="H45" s="510"/>
      <c r="I45" s="510"/>
      <c r="J45" s="510"/>
      <c r="K45" s="510"/>
      <c r="L45" s="510"/>
      <c r="M45" s="510"/>
      <c r="N45" s="510"/>
      <c r="O45" s="510"/>
      <c r="P45" s="78"/>
      <c r="Q45" s="78"/>
      <c r="R45" s="78"/>
      <c r="S45" s="78"/>
      <c r="T45" s="78"/>
      <c r="U45" s="510"/>
    </row>
    <row r="46" customFormat="false" ht="14.25" hidden="false" customHeight="false" outlineLevel="0" collapsed="false">
      <c r="A46" s="510"/>
      <c r="B46" s="911"/>
      <c r="C46" s="926"/>
      <c r="D46" s="957"/>
      <c r="E46" s="928"/>
      <c r="F46" s="925"/>
      <c r="G46" s="510"/>
      <c r="H46" s="510"/>
      <c r="I46" s="510"/>
      <c r="J46" s="510"/>
      <c r="K46" s="510"/>
      <c r="L46" s="510"/>
      <c r="M46" s="510"/>
      <c r="N46" s="510"/>
      <c r="O46" s="510"/>
      <c r="Q46" s="78"/>
      <c r="R46" s="78"/>
      <c r="S46" s="78"/>
      <c r="T46" s="78"/>
      <c r="U46" s="510"/>
    </row>
    <row r="47" customFormat="false" ht="14.25" hidden="false" customHeight="false" outlineLevel="0" collapsed="false">
      <c r="A47" s="510"/>
      <c r="B47" s="911"/>
      <c r="C47" s="926"/>
      <c r="D47" s="957"/>
      <c r="E47" s="928"/>
      <c r="F47" s="925"/>
      <c r="G47" s="510"/>
      <c r="H47" s="510"/>
      <c r="I47" s="510"/>
      <c r="J47" s="510"/>
      <c r="K47" s="510"/>
      <c r="L47" s="510"/>
      <c r="M47" s="510"/>
      <c r="N47" s="510"/>
      <c r="O47" s="510"/>
      <c r="Q47" s="78"/>
      <c r="R47" s="78"/>
      <c r="S47" s="78"/>
      <c r="T47" s="78"/>
      <c r="U47" s="510"/>
    </row>
    <row r="48" customFormat="false" ht="14.25" hidden="false" customHeight="false" outlineLevel="0" collapsed="false">
      <c r="A48" s="510"/>
      <c r="B48" s="911"/>
      <c r="C48" s="926"/>
      <c r="D48" s="957"/>
      <c r="E48" s="928"/>
      <c r="F48" s="925"/>
      <c r="G48" s="510"/>
      <c r="H48" s="510"/>
      <c r="I48" s="510"/>
      <c r="J48" s="510"/>
      <c r="K48" s="510"/>
      <c r="L48" s="510"/>
      <c r="M48" s="510"/>
      <c r="N48" s="510"/>
      <c r="O48" s="510"/>
      <c r="S48" s="78"/>
      <c r="U48" s="510"/>
    </row>
    <row r="49" customFormat="false" ht="14.25" hidden="false" customHeight="false" outlineLevel="0" collapsed="false">
      <c r="A49" s="510"/>
      <c r="B49" s="911"/>
      <c r="C49" s="926"/>
      <c r="D49" s="957"/>
      <c r="E49" s="928"/>
      <c r="F49" s="925"/>
      <c r="G49" s="510"/>
      <c r="H49" s="510"/>
      <c r="I49" s="510"/>
      <c r="J49" s="510"/>
      <c r="K49" s="510"/>
      <c r="L49" s="510"/>
      <c r="M49" s="510"/>
      <c r="N49" s="510"/>
      <c r="O49" s="510"/>
      <c r="S49" s="78"/>
      <c r="U49" s="510"/>
    </row>
    <row r="50" customFormat="false" ht="14.25" hidden="false" customHeight="false" outlineLevel="0" collapsed="false">
      <c r="A50" s="510"/>
      <c r="B50" s="911"/>
      <c r="C50" s="926"/>
      <c r="D50" s="957"/>
      <c r="E50" s="928"/>
      <c r="F50" s="925"/>
      <c r="G50" s="510"/>
      <c r="H50" s="510"/>
      <c r="I50" s="510"/>
      <c r="J50" s="510"/>
      <c r="K50" s="510"/>
      <c r="L50" s="510"/>
      <c r="M50" s="510"/>
      <c r="N50" s="510"/>
      <c r="O50" s="510"/>
      <c r="U50" s="510"/>
    </row>
    <row r="51" customFormat="false" ht="14.25" hidden="false" customHeight="false" outlineLevel="0" collapsed="false">
      <c r="A51" s="510"/>
      <c r="B51" s="911"/>
      <c r="C51" s="929"/>
      <c r="D51" s="958"/>
      <c r="E51" s="924"/>
      <c r="F51" s="925"/>
      <c r="G51" s="510"/>
      <c r="H51" s="510"/>
      <c r="I51" s="510"/>
      <c r="J51" s="510"/>
      <c r="K51" s="510"/>
      <c r="L51" s="510"/>
      <c r="M51" s="510"/>
      <c r="N51" s="510"/>
      <c r="O51" s="510"/>
      <c r="U51" s="510"/>
    </row>
    <row r="52" customFormat="false" ht="14.25" hidden="false" customHeight="false" outlineLevel="0" collapsed="false">
      <c r="A52" s="510"/>
      <c r="B52" s="911"/>
      <c r="C52" s="932"/>
      <c r="D52" s="933" t="s">
        <v>680</v>
      </c>
      <c r="E52" s="959" t="n">
        <f aca="false">SUM(E40:E51)</f>
        <v>0</v>
      </c>
      <c r="F52" s="925"/>
      <c r="G52" s="510"/>
      <c r="H52" s="510"/>
      <c r="I52" s="510"/>
      <c r="J52" s="510"/>
      <c r="K52" s="510"/>
      <c r="L52" s="510"/>
      <c r="M52" s="510"/>
      <c r="N52" s="510"/>
      <c r="O52" s="510"/>
      <c r="U52" s="510"/>
    </row>
    <row r="53" customFormat="false" ht="14.25" hidden="false" customHeight="false" outlineLevel="0" collapsed="false">
      <c r="A53" s="510"/>
      <c r="B53" s="911"/>
      <c r="C53" s="960" t="s">
        <v>284</v>
      </c>
      <c r="D53" s="960"/>
      <c r="E53" s="960"/>
      <c r="F53" s="925"/>
      <c r="G53" s="510"/>
      <c r="H53" s="510"/>
      <c r="I53" s="510"/>
      <c r="J53" s="510"/>
      <c r="K53" s="510"/>
      <c r="L53" s="510"/>
      <c r="M53" s="510"/>
      <c r="N53" s="510"/>
      <c r="O53" s="510"/>
      <c r="U53" s="510"/>
    </row>
    <row r="54" customFormat="false" ht="14.25" hidden="false" customHeight="false" outlineLevel="0" collapsed="false">
      <c r="A54" s="510"/>
      <c r="B54" s="911"/>
      <c r="C54" s="961" t="s">
        <v>681</v>
      </c>
      <c r="D54" s="961"/>
      <c r="E54" s="961"/>
      <c r="F54" s="962"/>
      <c r="G54" s="510"/>
      <c r="H54" s="510"/>
      <c r="I54" s="510"/>
      <c r="J54" s="510"/>
      <c r="K54" s="510"/>
      <c r="L54" s="510"/>
      <c r="M54" s="510"/>
      <c r="N54" s="510"/>
      <c r="O54" s="510"/>
      <c r="U54" s="510"/>
    </row>
    <row r="55" customFormat="false" ht="14.25" hidden="false" customHeight="false" outlineLevel="0" collapsed="false">
      <c r="A55" s="510"/>
      <c r="B55" s="911"/>
      <c r="C55" s="510"/>
      <c r="D55" s="510"/>
      <c r="E55" s="510"/>
      <c r="F55" s="962"/>
      <c r="G55" s="510"/>
      <c r="H55" s="510"/>
      <c r="I55" s="510"/>
      <c r="J55" s="510"/>
      <c r="K55" s="510"/>
      <c r="L55" s="510"/>
      <c r="M55" s="510"/>
      <c r="N55" s="510"/>
      <c r="O55" s="510"/>
      <c r="U55" s="510"/>
    </row>
    <row r="56" customFormat="false" ht="14.25" hidden="false" customHeight="false" outlineLevel="0" collapsed="false">
      <c r="A56" s="510"/>
      <c r="B56" s="510"/>
      <c r="C56" s="510"/>
      <c r="D56" s="510"/>
      <c r="E56" s="510"/>
      <c r="F56" s="510"/>
      <c r="G56" s="510"/>
      <c r="H56" s="510"/>
      <c r="I56" s="510"/>
      <c r="J56" s="510"/>
      <c r="K56" s="510"/>
      <c r="L56" s="510"/>
      <c r="M56" s="510"/>
      <c r="N56" s="510"/>
      <c r="O56" s="510"/>
      <c r="U56" s="510"/>
    </row>
    <row r="57" customFormat="false" ht="14.25" hidden="false" customHeight="false" outlineLevel="0" collapsed="false">
      <c r="A57" s="510"/>
      <c r="B57" s="510"/>
      <c r="C57" s="510"/>
      <c r="D57" s="510"/>
      <c r="E57" s="510"/>
      <c r="F57" s="510"/>
      <c r="G57" s="510"/>
      <c r="H57" s="510"/>
      <c r="I57" s="510"/>
      <c r="J57" s="510"/>
      <c r="K57" s="510"/>
      <c r="L57" s="510"/>
      <c r="M57" s="510"/>
      <c r="N57" s="510"/>
      <c r="O57" s="510"/>
      <c r="U57" s="510"/>
    </row>
    <row r="58" customFormat="false" ht="14.25" hidden="false" customHeight="false" outlineLevel="0" collapsed="false">
      <c r="A58" s="510"/>
      <c r="B58" s="510"/>
      <c r="C58" s="510"/>
      <c r="D58" s="510"/>
      <c r="E58" s="510"/>
      <c r="F58" s="510"/>
      <c r="G58" s="510"/>
      <c r="H58" s="510"/>
      <c r="I58" s="510"/>
      <c r="J58" s="510"/>
      <c r="K58" s="510"/>
      <c r="L58" s="510"/>
      <c r="M58" s="510"/>
      <c r="N58" s="510"/>
      <c r="O58" s="510"/>
      <c r="U58" s="510"/>
    </row>
    <row r="59" customFormat="false" ht="14.25" hidden="false" customHeight="false" outlineLevel="0" collapsed="false">
      <c r="A59" s="510"/>
      <c r="B59" s="510"/>
      <c r="C59" s="510"/>
      <c r="D59" s="510"/>
      <c r="E59" s="510"/>
      <c r="F59" s="510"/>
      <c r="G59" s="510"/>
      <c r="H59" s="510"/>
      <c r="I59" s="510"/>
      <c r="J59" s="510"/>
      <c r="K59" s="510"/>
      <c r="L59" s="510"/>
      <c r="M59" s="510"/>
      <c r="N59" s="510"/>
      <c r="O59" s="510"/>
      <c r="U59" s="510"/>
    </row>
    <row r="60" customFormat="false" ht="14.25" hidden="false" customHeight="false" outlineLevel="0" collapsed="false">
      <c r="A60" s="510"/>
      <c r="B60" s="510"/>
      <c r="C60" s="510"/>
      <c r="D60" s="510"/>
      <c r="E60" s="510"/>
      <c r="F60" s="510"/>
      <c r="G60" s="510"/>
      <c r="H60" s="510"/>
      <c r="I60" s="510"/>
      <c r="J60" s="510"/>
      <c r="K60" s="510"/>
      <c r="L60" s="510"/>
      <c r="M60" s="510"/>
      <c r="N60" s="510"/>
      <c r="O60" s="510"/>
      <c r="U60" s="510"/>
    </row>
    <row r="61" customFormat="false" ht="14.25" hidden="false" customHeight="false" outlineLevel="0" collapsed="false">
      <c r="A61" s="510"/>
      <c r="B61" s="510"/>
      <c r="C61" s="510"/>
      <c r="D61" s="510"/>
      <c r="E61" s="510"/>
      <c r="F61" s="510"/>
      <c r="G61" s="510"/>
      <c r="H61" s="510"/>
      <c r="I61" s="510"/>
      <c r="J61" s="510"/>
      <c r="K61" s="510"/>
      <c r="L61" s="510"/>
      <c r="M61" s="510"/>
      <c r="N61" s="510"/>
      <c r="O61" s="510"/>
      <c r="U61" s="510"/>
    </row>
    <row r="62" customFormat="false" ht="14.25" hidden="false" customHeight="false" outlineLevel="0" collapsed="false">
      <c r="B62" s="510"/>
      <c r="F62" s="510"/>
    </row>
  </sheetData>
  <sheetProtection algorithmName="SHA-512" hashValue="wZPsV6Yfrm7NzQ2Fa5/SEjUhjNJlr4IP39nKb0vZR51bRHqAgvebdoBB3qSkSsfWypoSGF3qAT71mx5KMkqWSQ==" saltValue="+/zF2JRb74FEa+a1lb4+9A==" spinCount="100000" sheet="true" objects="true" scenarios="true"/>
  <mergeCells count="10">
    <mergeCell ref="C3:E3"/>
    <mergeCell ref="C4:E4"/>
    <mergeCell ref="C6:E6"/>
    <mergeCell ref="C8:F8"/>
    <mergeCell ref="C32:D32"/>
    <mergeCell ref="C33:D33"/>
    <mergeCell ref="C34:D34"/>
    <mergeCell ref="C35:D35"/>
    <mergeCell ref="C53:E53"/>
    <mergeCell ref="C54:E54"/>
  </mergeCells>
  <conditionalFormatting sqref="E40:E51 E34 E11:E19 E23:E29">
    <cfRule type="cellIs" priority="2" operator="lessThan" aboveAverage="0" equalAverage="0" bottom="0" percent="0" rank="0" text="" dxfId="31">
      <formula>0</formula>
    </cfRule>
  </conditionalFormatting>
  <dataValidations count="2">
    <dataValidation allowBlank="true" errorStyle="stop" operator="greaterThanOrEqual" showDropDown="false" showErrorMessage="true" showInputMessage="true" sqref="D40:D51" type="none">
      <formula1>0</formula1>
      <formula2>0</formula2>
    </dataValidation>
    <dataValidation allowBlank="true" error="Enter a dollar amount." errorStyle="stop" operator="greaterThanOrEqual" showDropDown="false" showErrorMessage="true" showInputMessage="true" sqref="E11:E19 E23:E29 E34 E40:E51" type="decimal">
      <formula1>-99999999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70"/>
  <sheetViews>
    <sheetView showFormulas="false" showGridLines="true" showRowColHeaders="true" showZeros="true" rightToLeft="false" tabSelected="false" showOutlineSymbols="true" defaultGridColor="true" view="normal" topLeftCell="C5" colorId="64" zoomScale="100" zoomScaleNormal="100" zoomScalePageLayoutView="100" workbookViewId="0">
      <selection pane="topLeft" activeCell="C5" activeCellId="0" sqref="C5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50.62"/>
    <col collapsed="false" customWidth="true" hidden="false" outlineLevel="0" max="4" min="4" style="1" width="11.62"/>
    <col collapsed="false" customWidth="true" hidden="false" outlineLevel="0" max="7" min="5" style="1" width="16.62"/>
    <col collapsed="false" customWidth="true" hidden="false" outlineLevel="0" max="9" min="8" style="1" width="3.62"/>
    <col collapsed="false" customWidth="true" hidden="true" outlineLevel="0" max="15" min="10" style="1" width="11.53"/>
    <col collapsed="false" customWidth="false" hidden="false" outlineLevel="0" max="16" min="16" style="1" width="9.13"/>
    <col collapsed="false" customWidth="true" hidden="true" outlineLevel="0" max="21" min="17" style="1" width="25"/>
    <col collapsed="false" customWidth="false" hidden="false" outlineLevel="0" max="16384" min="22" style="1" width="9.13"/>
  </cols>
  <sheetData>
    <row r="1" customFormat="false" ht="14.25" hidden="false" customHeight="false" outlineLevel="0" collapsed="false">
      <c r="A1" s="910"/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79" t="s">
        <v>4</v>
      </c>
      <c r="R1" s="79" t="s">
        <v>4</v>
      </c>
      <c r="S1" s="79" t="s">
        <v>4</v>
      </c>
      <c r="T1" s="79" t="s">
        <v>4</v>
      </c>
      <c r="U1" s="79" t="s">
        <v>4</v>
      </c>
      <c r="V1" s="510"/>
    </row>
    <row r="2" customFormat="false" ht="14.25" hidden="false" customHeight="false" outlineLevel="0" collapsed="false">
      <c r="A2" s="510"/>
      <c r="B2" s="911"/>
      <c r="C2" s="81" t="str">
        <f aca="false">Contents!B59</f>
        <v>Version: AS L 6 LARGE locked LOCAL</v>
      </c>
      <c r="D2" s="81"/>
      <c r="E2" s="911"/>
      <c r="F2" s="911"/>
      <c r="G2" s="911"/>
      <c r="H2" s="911"/>
      <c r="I2" s="510"/>
      <c r="J2" s="510"/>
      <c r="K2" s="510"/>
      <c r="L2" s="510"/>
      <c r="M2" s="510"/>
      <c r="N2" s="510"/>
      <c r="O2" s="510"/>
      <c r="P2" s="510"/>
      <c r="Q2" s="79" t="s">
        <v>9</v>
      </c>
      <c r="R2" s="79" t="s">
        <v>9</v>
      </c>
      <c r="S2" s="79" t="s">
        <v>9</v>
      </c>
      <c r="T2" s="79" t="s">
        <v>9</v>
      </c>
      <c r="U2" s="79" t="s">
        <v>9</v>
      </c>
      <c r="V2" s="510"/>
    </row>
    <row r="3" customFormat="false" ht="14.25" hidden="false" customHeight="false" outlineLevel="0" collapsed="false">
      <c r="A3" s="912"/>
      <c r="B3" s="913"/>
      <c r="C3" s="914" t="str">
        <f aca="false">Contents!$E$3</f>
        <v>THE SOCIETY FOR CREATIVE ANACHRONISM, INC.</v>
      </c>
      <c r="D3" s="914"/>
      <c r="E3" s="914"/>
      <c r="F3" s="914"/>
      <c r="G3" s="914"/>
      <c r="H3" s="915"/>
      <c r="I3" s="912"/>
      <c r="J3" s="912"/>
      <c r="K3" s="912"/>
      <c r="L3" s="912"/>
      <c r="M3" s="912"/>
      <c r="N3" s="912"/>
      <c r="O3" s="912"/>
      <c r="P3" s="912"/>
      <c r="Q3" s="79" t="s">
        <v>12</v>
      </c>
      <c r="R3" s="79" t="s">
        <v>12</v>
      </c>
      <c r="S3" s="79" t="s">
        <v>12</v>
      </c>
      <c r="T3" s="79" t="s">
        <v>12</v>
      </c>
      <c r="U3" s="79" t="s">
        <v>12</v>
      </c>
      <c r="V3" s="912"/>
    </row>
    <row r="4" customFormat="false" ht="14.25" hidden="false" customHeight="false" outlineLevel="0" collapsed="false">
      <c r="A4" s="510"/>
      <c r="B4" s="913"/>
      <c r="C4" s="914" t="str">
        <f aca="false">Contents!$E$4</f>
        <v>FINANCIAL REPORT</v>
      </c>
      <c r="D4" s="914"/>
      <c r="E4" s="914"/>
      <c r="F4" s="914"/>
      <c r="G4" s="914"/>
      <c r="H4" s="915"/>
      <c r="I4" s="510"/>
      <c r="J4" s="510"/>
      <c r="K4" s="510"/>
      <c r="L4" s="510"/>
      <c r="M4" s="510"/>
      <c r="N4" s="510"/>
      <c r="O4" s="510"/>
      <c r="P4" s="510"/>
      <c r="Q4" s="79" t="s">
        <v>15</v>
      </c>
      <c r="R4" s="79" t="s">
        <v>15</v>
      </c>
      <c r="S4" s="79" t="s">
        <v>15</v>
      </c>
      <c r="T4" s="79" t="s">
        <v>15</v>
      </c>
      <c r="U4" s="79" t="s">
        <v>15</v>
      </c>
      <c r="V4" s="510"/>
    </row>
    <row r="5" customFormat="false" ht="14.25" hidden="false" customHeight="false" outlineLevel="0" collapsed="false">
      <c r="A5" s="510"/>
      <c r="B5" s="911"/>
      <c r="C5" s="911"/>
      <c r="D5" s="911"/>
      <c r="E5" s="911"/>
      <c r="F5" s="911"/>
      <c r="G5" s="911"/>
      <c r="H5" s="911"/>
      <c r="I5" s="510"/>
      <c r="J5" s="510"/>
      <c r="K5" s="510"/>
      <c r="L5" s="510"/>
      <c r="M5" s="510"/>
      <c r="N5" s="510"/>
      <c r="O5" s="510"/>
      <c r="P5" s="510"/>
      <c r="Q5" s="79" t="s">
        <v>17</v>
      </c>
      <c r="R5" s="79" t="s">
        <v>17</v>
      </c>
      <c r="S5" s="79" t="s">
        <v>17</v>
      </c>
      <c r="T5" s="79" t="s">
        <v>17</v>
      </c>
      <c r="U5" s="79" t="s">
        <v>17</v>
      </c>
      <c r="V5" s="510"/>
    </row>
    <row r="6" customFormat="false" ht="14.25" hidden="false" customHeight="false" outlineLevel="0" collapsed="false">
      <c r="A6" s="510"/>
      <c r="B6" s="911"/>
      <c r="C6" s="916" t="str">
        <f aca="false">Contents!B58</f>
        <v>Branch:   SCA, Inc.- Middle Kingdom                                               Period:  1/01/2025             to     12/31/2025            .</v>
      </c>
      <c r="D6" s="916"/>
      <c r="E6" s="916"/>
      <c r="F6" s="916"/>
      <c r="G6" s="916"/>
      <c r="H6" s="911"/>
      <c r="I6" s="510"/>
      <c r="J6" s="510"/>
      <c r="K6" s="510"/>
      <c r="L6" s="510"/>
      <c r="M6" s="510"/>
      <c r="N6" s="510"/>
      <c r="O6" s="510"/>
      <c r="P6" s="510"/>
      <c r="Q6" s="79" t="s">
        <v>19</v>
      </c>
      <c r="R6" s="79" t="s">
        <v>19</v>
      </c>
      <c r="S6" s="79" t="s">
        <v>19</v>
      </c>
      <c r="T6" s="79" t="s">
        <v>19</v>
      </c>
      <c r="U6" s="79" t="s">
        <v>19</v>
      </c>
      <c r="V6" s="510"/>
    </row>
    <row r="7" customFormat="false" ht="14.25" hidden="false" customHeight="false" outlineLevel="0" collapsed="false">
      <c r="A7" s="510"/>
      <c r="B7" s="911"/>
      <c r="C7" s="911"/>
      <c r="D7" s="911"/>
      <c r="E7" s="911"/>
      <c r="F7" s="911"/>
      <c r="G7" s="911"/>
      <c r="H7" s="911"/>
      <c r="I7" s="510"/>
      <c r="J7" s="510"/>
      <c r="K7" s="510"/>
      <c r="L7" s="510"/>
      <c r="M7" s="510"/>
      <c r="N7" s="510"/>
      <c r="O7" s="510"/>
      <c r="P7" s="510"/>
      <c r="Q7" s="79" t="s">
        <v>23</v>
      </c>
      <c r="R7" s="79" t="s">
        <v>23</v>
      </c>
      <c r="S7" s="79" t="s">
        <v>23</v>
      </c>
      <c r="T7" s="79" t="s">
        <v>23</v>
      </c>
      <c r="U7" s="79" t="s">
        <v>23</v>
      </c>
      <c r="V7" s="510"/>
    </row>
    <row r="8" customFormat="false" ht="17.35" hidden="false" customHeight="false" outlineLevel="0" collapsed="false">
      <c r="A8" s="510"/>
      <c r="B8" s="911"/>
      <c r="C8" s="917" t="s">
        <v>682</v>
      </c>
      <c r="D8" s="917"/>
      <c r="E8" s="917"/>
      <c r="F8" s="917"/>
      <c r="G8" s="917"/>
      <c r="H8" s="917"/>
      <c r="I8" s="510"/>
      <c r="J8" s="510"/>
      <c r="K8" s="510"/>
      <c r="L8" s="510"/>
      <c r="M8" s="510"/>
      <c r="N8" s="510"/>
      <c r="O8" s="510"/>
      <c r="P8" s="510"/>
      <c r="Q8" s="79" t="s">
        <v>27</v>
      </c>
      <c r="R8" s="79" t="s">
        <v>27</v>
      </c>
      <c r="S8" s="79" t="s">
        <v>27</v>
      </c>
      <c r="T8" s="79" t="s">
        <v>27</v>
      </c>
      <c r="U8" s="79" t="s">
        <v>27</v>
      </c>
      <c r="V8" s="510"/>
    </row>
    <row r="9" customFormat="false" ht="14.25" hidden="false" customHeight="false" outlineLevel="0" collapsed="false">
      <c r="A9" s="510"/>
      <c r="B9" s="911"/>
      <c r="C9" s="963" t="s">
        <v>683</v>
      </c>
      <c r="D9" s="964"/>
      <c r="E9" s="964"/>
      <c r="F9" s="965"/>
      <c r="G9" s="911"/>
      <c r="H9" s="911"/>
      <c r="I9" s="510"/>
      <c r="J9" s="510"/>
      <c r="K9" s="510"/>
      <c r="L9" s="510"/>
      <c r="M9" s="510"/>
      <c r="N9" s="510"/>
      <c r="O9" s="510"/>
      <c r="P9" s="510"/>
      <c r="Q9" s="79" t="s">
        <v>31</v>
      </c>
      <c r="R9" s="79" t="s">
        <v>31</v>
      </c>
      <c r="S9" s="79" t="s">
        <v>38</v>
      </c>
      <c r="T9" s="79" t="s">
        <v>38</v>
      </c>
      <c r="U9" s="79" t="s">
        <v>31</v>
      </c>
      <c r="V9" s="510"/>
    </row>
    <row r="10" customFormat="false" ht="14.25" hidden="false" customHeight="false" outlineLevel="0" collapsed="false">
      <c r="A10" s="510"/>
      <c r="B10" s="911"/>
      <c r="C10" s="966" t="s">
        <v>684</v>
      </c>
      <c r="D10" s="966"/>
      <c r="E10" s="911"/>
      <c r="F10" s="911"/>
      <c r="G10" s="911"/>
      <c r="H10" s="911"/>
      <c r="I10" s="510"/>
      <c r="J10" s="510"/>
      <c r="K10" s="510"/>
      <c r="L10" s="510"/>
      <c r="M10" s="510"/>
      <c r="N10" s="510"/>
      <c r="O10" s="510"/>
      <c r="P10" s="510"/>
      <c r="Q10" s="79" t="s">
        <v>34</v>
      </c>
      <c r="R10" s="79" t="s">
        <v>34</v>
      </c>
      <c r="S10" s="79" t="s">
        <v>41</v>
      </c>
      <c r="T10" s="79" t="s">
        <v>41</v>
      </c>
      <c r="U10" s="79" t="s">
        <v>34</v>
      </c>
      <c r="V10" s="510"/>
    </row>
    <row r="11" customFormat="false" ht="23.9" hidden="false" customHeight="true" outlineLevel="0" collapsed="false">
      <c r="A11" s="510"/>
      <c r="B11" s="911"/>
      <c r="C11" s="955" t="s">
        <v>685</v>
      </c>
      <c r="D11" s="955"/>
      <c r="E11" s="967" t="s">
        <v>686</v>
      </c>
      <c r="F11" s="967" t="s">
        <v>687</v>
      </c>
      <c r="G11" s="968" t="s">
        <v>688</v>
      </c>
      <c r="H11" s="949"/>
      <c r="I11" s="510"/>
      <c r="J11" s="510"/>
      <c r="K11" s="510"/>
      <c r="L11" s="510"/>
      <c r="M11" s="510"/>
      <c r="N11" s="510"/>
      <c r="O11" s="510"/>
      <c r="P11" s="510"/>
      <c r="Q11" s="79" t="s">
        <v>36</v>
      </c>
      <c r="R11" s="79" t="s">
        <v>36</v>
      </c>
      <c r="S11" s="79" t="s">
        <v>43</v>
      </c>
      <c r="T11" s="79" t="s">
        <v>43</v>
      </c>
      <c r="U11" s="79" t="s">
        <v>36</v>
      </c>
      <c r="V11" s="510"/>
    </row>
    <row r="12" customFormat="false" ht="14.25" hidden="false" customHeight="false" outlineLevel="0" collapsed="false">
      <c r="A12" s="510"/>
      <c r="B12" s="911"/>
      <c r="C12" s="969"/>
      <c r="D12" s="969"/>
      <c r="E12" s="970"/>
      <c r="F12" s="970"/>
      <c r="G12" s="971" t="n">
        <f aca="false">E12-F12</f>
        <v>0</v>
      </c>
      <c r="H12" s="925"/>
      <c r="I12" s="510"/>
      <c r="J12" s="510"/>
      <c r="K12" s="510"/>
      <c r="L12" s="510"/>
      <c r="M12" s="510"/>
      <c r="N12" s="510"/>
      <c r="O12" s="510"/>
      <c r="P12" s="510"/>
      <c r="Q12" s="79" t="s">
        <v>38</v>
      </c>
      <c r="R12" s="79" t="s">
        <v>38</v>
      </c>
      <c r="S12" s="79" t="s">
        <v>46</v>
      </c>
      <c r="T12" s="79" t="s">
        <v>46</v>
      </c>
      <c r="U12" s="79" t="s">
        <v>38</v>
      </c>
      <c r="V12" s="510"/>
    </row>
    <row r="13" customFormat="false" ht="14.25" hidden="false" customHeight="false" outlineLevel="0" collapsed="false">
      <c r="A13" s="510"/>
      <c r="B13" s="911"/>
      <c r="C13" s="972"/>
      <c r="D13" s="972"/>
      <c r="E13" s="970"/>
      <c r="F13" s="970"/>
      <c r="G13" s="973" t="n">
        <f aca="false">E13-F13</f>
        <v>0</v>
      </c>
      <c r="H13" s="925"/>
      <c r="I13" s="510"/>
      <c r="J13" s="510"/>
      <c r="K13" s="510"/>
      <c r="L13" s="510"/>
      <c r="M13" s="510"/>
      <c r="N13" s="510"/>
      <c r="O13" s="510"/>
      <c r="P13" s="510"/>
      <c r="Q13" s="79" t="s">
        <v>41</v>
      </c>
      <c r="R13" s="79" t="s">
        <v>41</v>
      </c>
      <c r="S13" s="79" t="s">
        <v>49</v>
      </c>
      <c r="T13" s="79" t="s">
        <v>49</v>
      </c>
      <c r="U13" s="79" t="s">
        <v>41</v>
      </c>
      <c r="V13" s="510"/>
    </row>
    <row r="14" customFormat="false" ht="14.25" hidden="false" customHeight="false" outlineLevel="0" collapsed="false">
      <c r="A14" s="510"/>
      <c r="B14" s="911"/>
      <c r="C14" s="972"/>
      <c r="D14" s="972"/>
      <c r="E14" s="970"/>
      <c r="F14" s="970"/>
      <c r="G14" s="973" t="n">
        <f aca="false">E14-F14</f>
        <v>0</v>
      </c>
      <c r="H14" s="925"/>
      <c r="I14" s="510"/>
      <c r="J14" s="510"/>
      <c r="K14" s="510"/>
      <c r="L14" s="510"/>
      <c r="M14" s="510"/>
      <c r="N14" s="510"/>
      <c r="O14" s="510"/>
      <c r="P14" s="510"/>
      <c r="Q14" s="79" t="s">
        <v>43</v>
      </c>
      <c r="R14" s="79" t="s">
        <v>43</v>
      </c>
      <c r="S14" s="79" t="s">
        <v>52</v>
      </c>
      <c r="T14" s="79" t="s">
        <v>52</v>
      </c>
      <c r="U14" s="79" t="s">
        <v>43</v>
      </c>
      <c r="V14" s="510"/>
    </row>
    <row r="15" customFormat="false" ht="14.25" hidden="false" customHeight="false" outlineLevel="0" collapsed="false">
      <c r="A15" s="510"/>
      <c r="B15" s="911"/>
      <c r="C15" s="972"/>
      <c r="D15" s="972"/>
      <c r="E15" s="970"/>
      <c r="F15" s="970"/>
      <c r="G15" s="973" t="n">
        <f aca="false">E15-F15</f>
        <v>0</v>
      </c>
      <c r="H15" s="925"/>
      <c r="I15" s="510"/>
      <c r="J15" s="510"/>
      <c r="K15" s="510"/>
      <c r="L15" s="510"/>
      <c r="M15" s="510"/>
      <c r="N15" s="510"/>
      <c r="O15" s="510"/>
      <c r="P15" s="510"/>
      <c r="Q15" s="79" t="s">
        <v>46</v>
      </c>
      <c r="R15" s="79" t="s">
        <v>46</v>
      </c>
      <c r="S15" s="79" t="s">
        <v>55</v>
      </c>
      <c r="T15" s="79" t="s">
        <v>55</v>
      </c>
      <c r="U15" s="79" t="s">
        <v>46</v>
      </c>
      <c r="V15" s="510"/>
    </row>
    <row r="16" customFormat="false" ht="14.25" hidden="false" customHeight="false" outlineLevel="0" collapsed="false">
      <c r="A16" s="510"/>
      <c r="B16" s="911"/>
      <c r="C16" s="972"/>
      <c r="D16" s="972"/>
      <c r="E16" s="970"/>
      <c r="F16" s="970"/>
      <c r="G16" s="973" t="n">
        <f aca="false">E16-F16</f>
        <v>0</v>
      </c>
      <c r="H16" s="925"/>
      <c r="I16" s="510"/>
      <c r="J16" s="510"/>
      <c r="K16" s="510"/>
      <c r="L16" s="510"/>
      <c r="M16" s="510"/>
      <c r="N16" s="510"/>
      <c r="O16" s="510"/>
      <c r="P16" s="510"/>
      <c r="Q16" s="79" t="s">
        <v>49</v>
      </c>
      <c r="R16" s="79" t="s">
        <v>49</v>
      </c>
      <c r="S16" s="79" t="s">
        <v>58</v>
      </c>
      <c r="T16" s="79" t="s">
        <v>58</v>
      </c>
      <c r="U16" s="79" t="s">
        <v>49</v>
      </c>
      <c r="V16" s="510"/>
    </row>
    <row r="17" customFormat="false" ht="14.25" hidden="false" customHeight="false" outlineLevel="0" collapsed="false">
      <c r="A17" s="510"/>
      <c r="B17" s="911"/>
      <c r="C17" s="972"/>
      <c r="D17" s="972"/>
      <c r="E17" s="970"/>
      <c r="F17" s="970"/>
      <c r="G17" s="973" t="n">
        <f aca="false">E17-F17</f>
        <v>0</v>
      </c>
      <c r="H17" s="925"/>
      <c r="I17" s="510"/>
      <c r="J17" s="510"/>
      <c r="K17" s="510"/>
      <c r="L17" s="510"/>
      <c r="M17" s="510"/>
      <c r="N17" s="510"/>
      <c r="O17" s="510"/>
      <c r="P17" s="510"/>
      <c r="Q17" s="79" t="s">
        <v>52</v>
      </c>
      <c r="R17" s="79" t="s">
        <v>52</v>
      </c>
      <c r="S17" s="79" t="s">
        <v>64</v>
      </c>
      <c r="T17" s="79" t="s">
        <v>60</v>
      </c>
      <c r="U17" s="79" t="s">
        <v>52</v>
      </c>
      <c r="V17" s="510"/>
    </row>
    <row r="18" customFormat="false" ht="14.25" hidden="false" customHeight="false" outlineLevel="0" collapsed="false">
      <c r="A18" s="510"/>
      <c r="B18" s="911"/>
      <c r="C18" s="972"/>
      <c r="D18" s="972"/>
      <c r="E18" s="970"/>
      <c r="F18" s="970"/>
      <c r="G18" s="973" t="n">
        <f aca="false">E18-F18</f>
        <v>0</v>
      </c>
      <c r="H18" s="925"/>
      <c r="I18" s="510"/>
      <c r="J18" s="510"/>
      <c r="K18" s="510"/>
      <c r="L18" s="510"/>
      <c r="M18" s="510"/>
      <c r="N18" s="510"/>
      <c r="O18" s="510"/>
      <c r="P18" s="510"/>
      <c r="Q18" s="79" t="s">
        <v>55</v>
      </c>
      <c r="R18" s="79" t="s">
        <v>55</v>
      </c>
      <c r="S18" s="79" t="s">
        <v>91</v>
      </c>
      <c r="T18" s="79" t="s">
        <v>64</v>
      </c>
      <c r="U18" s="79" t="s">
        <v>55</v>
      </c>
      <c r="V18" s="510"/>
    </row>
    <row r="19" customFormat="false" ht="14.25" hidden="false" customHeight="false" outlineLevel="0" collapsed="false">
      <c r="A19" s="510"/>
      <c r="B19" s="911"/>
      <c r="C19" s="972"/>
      <c r="D19" s="972"/>
      <c r="E19" s="970"/>
      <c r="F19" s="970"/>
      <c r="G19" s="973" t="n">
        <f aca="false">E19-F19</f>
        <v>0</v>
      </c>
      <c r="H19" s="925"/>
      <c r="I19" s="510"/>
      <c r="J19" s="510"/>
      <c r="K19" s="510"/>
      <c r="L19" s="510"/>
      <c r="M19" s="510"/>
      <c r="N19" s="510"/>
      <c r="O19" s="510"/>
      <c r="P19" s="510"/>
      <c r="Q19" s="79" t="s">
        <v>58</v>
      </c>
      <c r="R19" s="79" t="s">
        <v>58</v>
      </c>
      <c r="S19" s="78"/>
      <c r="T19" s="79" t="s">
        <v>70</v>
      </c>
      <c r="U19" s="79" t="s">
        <v>58</v>
      </c>
      <c r="V19" s="510"/>
    </row>
    <row r="20" customFormat="false" ht="14.25" hidden="false" customHeight="false" outlineLevel="0" collapsed="false">
      <c r="A20" s="510"/>
      <c r="B20" s="911"/>
      <c r="C20" s="972"/>
      <c r="D20" s="972"/>
      <c r="E20" s="970"/>
      <c r="F20" s="970"/>
      <c r="G20" s="973" t="n">
        <f aca="false">E20-F20</f>
        <v>0</v>
      </c>
      <c r="H20" s="925"/>
      <c r="I20" s="510"/>
      <c r="J20" s="510"/>
      <c r="K20" s="510"/>
      <c r="L20" s="510"/>
      <c r="M20" s="510"/>
      <c r="N20" s="510"/>
      <c r="O20" s="510"/>
      <c r="P20" s="510"/>
      <c r="Q20" s="79" t="s">
        <v>60</v>
      </c>
      <c r="R20" s="79" t="s">
        <v>60</v>
      </c>
      <c r="S20" s="78"/>
      <c r="T20" s="79" t="s">
        <v>174</v>
      </c>
      <c r="U20" s="79" t="s">
        <v>60</v>
      </c>
      <c r="V20" s="510"/>
    </row>
    <row r="21" customFormat="false" ht="14.25" hidden="false" customHeight="false" outlineLevel="0" collapsed="false">
      <c r="A21" s="510"/>
      <c r="B21" s="911"/>
      <c r="C21" s="972"/>
      <c r="D21" s="972"/>
      <c r="E21" s="970"/>
      <c r="F21" s="970"/>
      <c r="G21" s="973" t="n">
        <f aca="false">E21-F21</f>
        <v>0</v>
      </c>
      <c r="H21" s="925"/>
      <c r="I21" s="510"/>
      <c r="J21" s="510"/>
      <c r="K21" s="510"/>
      <c r="L21" s="510"/>
      <c r="M21" s="510"/>
      <c r="N21" s="510"/>
      <c r="O21" s="510"/>
      <c r="P21" s="510"/>
      <c r="Q21" s="79" t="s">
        <v>61</v>
      </c>
      <c r="R21" s="79" t="s">
        <v>61</v>
      </c>
      <c r="S21" s="78"/>
      <c r="T21" s="79" t="s">
        <v>177</v>
      </c>
      <c r="U21" s="79" t="s">
        <v>61</v>
      </c>
      <c r="V21" s="510"/>
    </row>
    <row r="22" customFormat="false" ht="14.25" hidden="false" customHeight="false" outlineLevel="0" collapsed="false">
      <c r="A22" s="510"/>
      <c r="B22" s="911"/>
      <c r="C22" s="972"/>
      <c r="D22" s="972"/>
      <c r="E22" s="970"/>
      <c r="F22" s="970"/>
      <c r="G22" s="973" t="n">
        <f aca="false">E22-F22</f>
        <v>0</v>
      </c>
      <c r="H22" s="925"/>
      <c r="I22" s="510"/>
      <c r="J22" s="510"/>
      <c r="K22" s="510"/>
      <c r="L22" s="510"/>
      <c r="M22" s="510"/>
      <c r="N22" s="510"/>
      <c r="O22" s="510"/>
      <c r="P22" s="510"/>
      <c r="Q22" s="79" t="s">
        <v>64</v>
      </c>
      <c r="R22" s="79" t="s">
        <v>64</v>
      </c>
      <c r="S22" s="78"/>
      <c r="T22" s="79" t="s">
        <v>178</v>
      </c>
      <c r="U22" s="79" t="s">
        <v>64</v>
      </c>
      <c r="V22" s="510"/>
    </row>
    <row r="23" customFormat="false" ht="14.25" hidden="false" customHeight="false" outlineLevel="0" collapsed="false">
      <c r="A23" s="510"/>
      <c r="B23" s="911"/>
      <c r="C23" s="972"/>
      <c r="D23" s="972"/>
      <c r="E23" s="970"/>
      <c r="F23" s="970"/>
      <c r="G23" s="973" t="n">
        <f aca="false">E23-F23</f>
        <v>0</v>
      </c>
      <c r="H23" s="925"/>
      <c r="I23" s="510"/>
      <c r="J23" s="510"/>
      <c r="K23" s="510"/>
      <c r="L23" s="510"/>
      <c r="M23" s="510"/>
      <c r="N23" s="510"/>
      <c r="O23" s="510"/>
      <c r="P23" s="510"/>
      <c r="Q23" s="79" t="s">
        <v>68</v>
      </c>
      <c r="R23" s="79" t="s">
        <v>83</v>
      </c>
      <c r="S23" s="78"/>
      <c r="T23" s="79" t="s">
        <v>179</v>
      </c>
      <c r="U23" s="79" t="s">
        <v>68</v>
      </c>
      <c r="V23" s="510"/>
    </row>
    <row r="24" customFormat="false" ht="14.25" hidden="false" customHeight="false" outlineLevel="0" collapsed="false">
      <c r="A24" s="510"/>
      <c r="B24" s="911"/>
      <c r="C24" s="972"/>
      <c r="D24" s="972"/>
      <c r="E24" s="970"/>
      <c r="F24" s="970"/>
      <c r="G24" s="973" t="n">
        <f aca="false">E24-F24</f>
        <v>0</v>
      </c>
      <c r="H24" s="925"/>
      <c r="I24" s="510"/>
      <c r="J24" s="510"/>
      <c r="K24" s="510"/>
      <c r="L24" s="510"/>
      <c r="M24" s="510"/>
      <c r="N24" s="510"/>
      <c r="O24" s="510"/>
      <c r="P24" s="510"/>
      <c r="Q24" s="79" t="s">
        <v>69</v>
      </c>
      <c r="R24" s="79" t="s">
        <v>87</v>
      </c>
      <c r="S24" s="78"/>
      <c r="T24" s="79" t="s">
        <v>180</v>
      </c>
      <c r="U24" s="79" t="s">
        <v>69</v>
      </c>
      <c r="V24" s="510"/>
    </row>
    <row r="25" customFormat="false" ht="14.25" hidden="false" customHeight="false" outlineLevel="0" collapsed="false">
      <c r="A25" s="510"/>
      <c r="B25" s="911"/>
      <c r="C25" s="972"/>
      <c r="D25" s="972"/>
      <c r="E25" s="970"/>
      <c r="F25" s="970"/>
      <c r="G25" s="973" t="n">
        <f aca="false">E25-F25</f>
        <v>0</v>
      </c>
      <c r="H25" s="925"/>
      <c r="I25" s="510"/>
      <c r="J25" s="510"/>
      <c r="K25" s="510"/>
      <c r="L25" s="510"/>
      <c r="M25" s="510"/>
      <c r="N25" s="510"/>
      <c r="O25" s="510"/>
      <c r="P25" s="510"/>
      <c r="Q25" s="79" t="s">
        <v>70</v>
      </c>
      <c r="R25" s="79" t="s">
        <v>91</v>
      </c>
      <c r="S25" s="78"/>
      <c r="T25" s="79" t="s">
        <v>181</v>
      </c>
      <c r="U25" s="79" t="s">
        <v>70</v>
      </c>
      <c r="V25" s="510"/>
    </row>
    <row r="26" customFormat="false" ht="14.25" hidden="false" customHeight="false" outlineLevel="0" collapsed="false">
      <c r="A26" s="510"/>
      <c r="B26" s="911"/>
      <c r="C26" s="974"/>
      <c r="D26" s="974"/>
      <c r="E26" s="970"/>
      <c r="F26" s="970"/>
      <c r="G26" s="973" t="n">
        <f aca="false">E26-F26</f>
        <v>0</v>
      </c>
      <c r="H26" s="925"/>
      <c r="I26" s="510"/>
      <c r="J26" s="510"/>
      <c r="K26" s="510"/>
      <c r="L26" s="510"/>
      <c r="M26" s="510"/>
      <c r="N26" s="510"/>
      <c r="O26" s="510"/>
      <c r="P26" s="510"/>
      <c r="Q26" s="79" t="s">
        <v>174</v>
      </c>
      <c r="R26" s="78"/>
      <c r="S26" s="78"/>
      <c r="T26" s="79" t="s">
        <v>83</v>
      </c>
      <c r="U26" s="79" t="s">
        <v>174</v>
      </c>
      <c r="V26" s="510"/>
    </row>
    <row r="27" customFormat="false" ht="14.25" hidden="false" customHeight="false" outlineLevel="0" collapsed="false">
      <c r="A27" s="510"/>
      <c r="B27" s="911"/>
      <c r="C27" s="975" t="s">
        <v>689</v>
      </c>
      <c r="D27" s="975"/>
      <c r="E27" s="975"/>
      <c r="F27" s="975"/>
      <c r="G27" s="976" t="n">
        <f aca="false">SUM(G11:G26)</f>
        <v>0</v>
      </c>
      <c r="H27" s="925"/>
      <c r="I27" s="510"/>
      <c r="J27" s="510"/>
      <c r="K27" s="510"/>
      <c r="L27" s="510"/>
      <c r="M27" s="510"/>
      <c r="N27" s="510"/>
      <c r="O27" s="510"/>
      <c r="P27" s="510"/>
      <c r="Q27" s="79" t="s">
        <v>177</v>
      </c>
      <c r="R27" s="78"/>
      <c r="S27" s="78"/>
      <c r="T27" s="79" t="s">
        <v>85</v>
      </c>
      <c r="U27" s="79" t="s">
        <v>76</v>
      </c>
      <c r="V27" s="510"/>
    </row>
    <row r="28" customFormat="false" ht="23.9" hidden="false" customHeight="false" outlineLevel="0" collapsed="false">
      <c r="A28" s="510"/>
      <c r="B28" s="911"/>
      <c r="C28" s="977" t="s">
        <v>690</v>
      </c>
      <c r="D28" s="978" t="s">
        <v>691</v>
      </c>
      <c r="E28" s="979" t="s">
        <v>343</v>
      </c>
      <c r="F28" s="979" t="s">
        <v>692</v>
      </c>
      <c r="G28" s="980" t="s">
        <v>693</v>
      </c>
      <c r="H28" s="949"/>
      <c r="I28" s="510"/>
      <c r="J28" s="510"/>
      <c r="K28" s="510"/>
      <c r="L28" s="510"/>
      <c r="M28" s="510"/>
      <c r="N28" s="510"/>
      <c r="O28" s="510"/>
      <c r="P28" s="510"/>
      <c r="Q28" s="79" t="s">
        <v>178</v>
      </c>
      <c r="R28" s="78"/>
      <c r="S28" s="78"/>
      <c r="T28" s="79" t="s">
        <v>86</v>
      </c>
      <c r="U28" s="79" t="s">
        <v>78</v>
      </c>
      <c r="V28" s="510"/>
    </row>
    <row r="29" customFormat="false" ht="14.25" hidden="false" customHeight="false" outlineLevel="0" collapsed="false">
      <c r="A29" s="510"/>
      <c r="B29" s="911"/>
      <c r="C29" s="926"/>
      <c r="D29" s="981"/>
      <c r="E29" s="970"/>
      <c r="F29" s="970"/>
      <c r="G29" s="982" t="n">
        <f aca="false">E29-F29</f>
        <v>0</v>
      </c>
      <c r="H29" s="925"/>
      <c r="I29" s="510"/>
      <c r="J29" s="510"/>
      <c r="K29" s="510"/>
      <c r="L29" s="510"/>
      <c r="M29" s="510"/>
      <c r="N29" s="510"/>
      <c r="O29" s="510"/>
      <c r="P29" s="510"/>
      <c r="Q29" s="79" t="s">
        <v>179</v>
      </c>
      <c r="R29" s="78"/>
      <c r="S29" s="78"/>
      <c r="T29" s="79" t="s">
        <v>87</v>
      </c>
      <c r="U29" s="79" t="s">
        <v>79</v>
      </c>
      <c r="V29" s="510"/>
    </row>
    <row r="30" customFormat="false" ht="14.25" hidden="false" customHeight="false" outlineLevel="0" collapsed="false">
      <c r="A30" s="510"/>
      <c r="B30" s="911"/>
      <c r="C30" s="926"/>
      <c r="D30" s="981"/>
      <c r="E30" s="970"/>
      <c r="F30" s="970"/>
      <c r="G30" s="982" t="n">
        <f aca="false">E30-F30</f>
        <v>0</v>
      </c>
      <c r="H30" s="925"/>
      <c r="I30" s="510"/>
      <c r="J30" s="510"/>
      <c r="K30" s="510"/>
      <c r="L30" s="510"/>
      <c r="M30" s="510"/>
      <c r="N30" s="510"/>
      <c r="O30" s="510"/>
      <c r="P30" s="510"/>
      <c r="Q30" s="79" t="s">
        <v>180</v>
      </c>
      <c r="R30" s="78"/>
      <c r="S30" s="78"/>
      <c r="T30" s="79" t="s">
        <v>91</v>
      </c>
      <c r="U30" s="79" t="s">
        <v>81</v>
      </c>
      <c r="V30" s="510"/>
    </row>
    <row r="31" customFormat="false" ht="14.25" hidden="false" customHeight="false" outlineLevel="0" collapsed="false">
      <c r="A31" s="510"/>
      <c r="B31" s="911"/>
      <c r="C31" s="926"/>
      <c r="D31" s="981"/>
      <c r="E31" s="970"/>
      <c r="F31" s="970"/>
      <c r="G31" s="982" t="n">
        <f aca="false">E31-F31</f>
        <v>0</v>
      </c>
      <c r="H31" s="925"/>
      <c r="I31" s="510"/>
      <c r="J31" s="510"/>
      <c r="K31" s="510"/>
      <c r="L31" s="510"/>
      <c r="M31" s="510"/>
      <c r="N31" s="510"/>
      <c r="O31" s="510"/>
      <c r="P31" s="510"/>
      <c r="Q31" s="79" t="s">
        <v>181</v>
      </c>
      <c r="R31" s="78"/>
      <c r="S31" s="78"/>
      <c r="T31" s="78"/>
      <c r="U31" s="79" t="s">
        <v>83</v>
      </c>
      <c r="V31" s="510"/>
    </row>
    <row r="32" customFormat="false" ht="14.25" hidden="false" customHeight="false" outlineLevel="0" collapsed="false">
      <c r="A32" s="510"/>
      <c r="B32" s="911"/>
      <c r="C32" s="926"/>
      <c r="D32" s="981"/>
      <c r="E32" s="970"/>
      <c r="F32" s="970"/>
      <c r="G32" s="982" t="n">
        <f aca="false">E32-F32</f>
        <v>0</v>
      </c>
      <c r="H32" s="925"/>
      <c r="I32" s="931"/>
      <c r="J32" s="931"/>
      <c r="K32" s="931"/>
      <c r="L32" s="931"/>
      <c r="M32" s="931"/>
      <c r="N32" s="931"/>
      <c r="O32" s="931"/>
      <c r="P32" s="931"/>
      <c r="Q32" s="79" t="s">
        <v>76</v>
      </c>
      <c r="R32" s="78"/>
      <c r="S32" s="78"/>
      <c r="T32" s="78"/>
      <c r="U32" s="79" t="s">
        <v>85</v>
      </c>
      <c r="V32" s="510"/>
    </row>
    <row r="33" customFormat="false" ht="14.25" hidden="false" customHeight="false" outlineLevel="0" collapsed="false">
      <c r="A33" s="510"/>
      <c r="B33" s="911"/>
      <c r="C33" s="926"/>
      <c r="D33" s="981"/>
      <c r="E33" s="970"/>
      <c r="F33" s="970"/>
      <c r="G33" s="982" t="n">
        <f aca="false">E33-F33</f>
        <v>0</v>
      </c>
      <c r="H33" s="925"/>
      <c r="I33" s="510"/>
      <c r="J33" s="510"/>
      <c r="K33" s="510"/>
      <c r="L33" s="510"/>
      <c r="M33" s="510"/>
      <c r="N33" s="510"/>
      <c r="O33" s="510"/>
      <c r="P33" s="510"/>
      <c r="Q33" s="79" t="s">
        <v>78</v>
      </c>
      <c r="R33" s="78"/>
      <c r="S33" s="78"/>
      <c r="T33" s="78"/>
      <c r="U33" s="79" t="s">
        <v>86</v>
      </c>
      <c r="V33" s="510"/>
    </row>
    <row r="34" customFormat="false" ht="14.25" hidden="false" customHeight="false" outlineLevel="0" collapsed="false">
      <c r="A34" s="983"/>
      <c r="B34" s="911"/>
      <c r="C34" s="926"/>
      <c r="D34" s="981"/>
      <c r="E34" s="970"/>
      <c r="F34" s="970"/>
      <c r="G34" s="982" t="n">
        <f aca="false">E34-F34</f>
        <v>0</v>
      </c>
      <c r="H34" s="925"/>
      <c r="I34" s="984"/>
      <c r="J34" s="984"/>
      <c r="K34" s="984"/>
      <c r="L34" s="984"/>
      <c r="M34" s="984"/>
      <c r="N34" s="984"/>
      <c r="O34" s="984"/>
      <c r="P34" s="984"/>
      <c r="Q34" s="79" t="s">
        <v>79</v>
      </c>
      <c r="R34" s="78"/>
      <c r="S34" s="78"/>
      <c r="T34" s="78"/>
      <c r="U34" s="79" t="s">
        <v>87</v>
      </c>
      <c r="V34" s="983"/>
    </row>
    <row r="35" customFormat="false" ht="14.25" hidden="false" customHeight="false" outlineLevel="0" collapsed="false">
      <c r="A35" s="510"/>
      <c r="B35" s="911"/>
      <c r="C35" s="926"/>
      <c r="D35" s="981"/>
      <c r="E35" s="970"/>
      <c r="F35" s="970"/>
      <c r="G35" s="982" t="n">
        <f aca="false">E35-F35</f>
        <v>0</v>
      </c>
      <c r="H35" s="925"/>
      <c r="I35" s="510"/>
      <c r="J35" s="510"/>
      <c r="K35" s="510"/>
      <c r="L35" s="510"/>
      <c r="M35" s="510"/>
      <c r="N35" s="510"/>
      <c r="O35" s="510"/>
      <c r="P35" s="510"/>
      <c r="Q35" s="79" t="s">
        <v>81</v>
      </c>
      <c r="R35" s="78"/>
      <c r="S35" s="78"/>
      <c r="T35" s="78"/>
      <c r="U35" s="79" t="s">
        <v>89</v>
      </c>
      <c r="V35" s="510"/>
    </row>
    <row r="36" customFormat="false" ht="14.25" hidden="false" customHeight="false" outlineLevel="0" collapsed="false">
      <c r="A36" s="983"/>
      <c r="B36" s="911"/>
      <c r="C36" s="985"/>
      <c r="D36" s="985"/>
      <c r="E36" s="986"/>
      <c r="F36" s="987" t="s">
        <v>694</v>
      </c>
      <c r="G36" s="976" t="n">
        <f aca="false">SUM(G29:G35)</f>
        <v>0</v>
      </c>
      <c r="H36" s="925"/>
      <c r="I36" s="983"/>
      <c r="J36" s="983"/>
      <c r="K36" s="983"/>
      <c r="L36" s="983"/>
      <c r="M36" s="983"/>
      <c r="N36" s="983"/>
      <c r="O36" s="983"/>
      <c r="P36" s="983"/>
      <c r="Q36" s="79" t="s">
        <v>83</v>
      </c>
      <c r="R36" s="78"/>
      <c r="S36" s="78"/>
      <c r="T36" s="78"/>
      <c r="U36" s="79" t="s">
        <v>90</v>
      </c>
      <c r="V36" s="983"/>
    </row>
    <row r="37" customFormat="false" ht="14.25" hidden="false" customHeight="false" outlineLevel="0" collapsed="false">
      <c r="A37" s="510"/>
      <c r="B37" s="911"/>
      <c r="C37" s="988"/>
      <c r="D37" s="988"/>
      <c r="E37" s="989"/>
      <c r="F37" s="990" t="s">
        <v>695</v>
      </c>
      <c r="G37" s="934" t="n">
        <f aca="false">G27+G36</f>
        <v>0</v>
      </c>
      <c r="H37" s="925"/>
      <c r="I37" s="510"/>
      <c r="J37" s="510"/>
      <c r="K37" s="510"/>
      <c r="L37" s="510"/>
      <c r="M37" s="510"/>
      <c r="N37" s="510"/>
      <c r="O37" s="510"/>
      <c r="P37" s="510"/>
      <c r="Q37" s="79" t="s">
        <v>85</v>
      </c>
      <c r="R37" s="78"/>
      <c r="S37" s="78"/>
      <c r="T37" s="78"/>
      <c r="U37" s="79" t="s">
        <v>192</v>
      </c>
      <c r="V37" s="510"/>
    </row>
    <row r="38" customFormat="false" ht="14.25" hidden="false" customHeight="false" outlineLevel="0" collapsed="false">
      <c r="A38" s="510"/>
      <c r="B38" s="911"/>
      <c r="C38" s="991"/>
      <c r="D38" s="991"/>
      <c r="E38" s="911"/>
      <c r="F38" s="954"/>
      <c r="G38" s="992"/>
      <c r="H38" s="925"/>
      <c r="I38" s="510"/>
      <c r="J38" s="510"/>
      <c r="K38" s="510"/>
      <c r="L38" s="510"/>
      <c r="M38" s="510"/>
      <c r="N38" s="510"/>
      <c r="O38" s="510"/>
      <c r="P38" s="510"/>
      <c r="Q38" s="79" t="s">
        <v>86</v>
      </c>
      <c r="R38" s="78"/>
      <c r="S38" s="78"/>
      <c r="T38" s="78"/>
      <c r="U38" s="79" t="s">
        <v>91</v>
      </c>
      <c r="V38" s="510"/>
    </row>
    <row r="39" customFormat="false" ht="31.5" hidden="false" customHeight="true" outlineLevel="0" collapsed="false">
      <c r="A39" s="510"/>
      <c r="B39" s="911"/>
      <c r="C39" s="955" t="s">
        <v>696</v>
      </c>
      <c r="D39" s="955"/>
      <c r="E39" s="967" t="s">
        <v>697</v>
      </c>
      <c r="F39" s="967" t="s">
        <v>698</v>
      </c>
      <c r="G39" s="968" t="s">
        <v>699</v>
      </c>
      <c r="H39" s="949"/>
      <c r="I39" s="510"/>
      <c r="J39" s="510"/>
      <c r="K39" s="510"/>
      <c r="L39" s="510"/>
      <c r="M39" s="510"/>
      <c r="N39" s="510"/>
      <c r="O39" s="510"/>
      <c r="P39" s="510"/>
      <c r="Q39" s="79" t="s">
        <v>87</v>
      </c>
      <c r="R39" s="78"/>
      <c r="S39" s="78"/>
      <c r="T39" s="78"/>
      <c r="U39" s="79"/>
      <c r="V39" s="510"/>
    </row>
    <row r="40" customFormat="false" ht="14.25" hidden="false" customHeight="false" outlineLevel="0" collapsed="false">
      <c r="A40" s="510"/>
      <c r="B40" s="911"/>
      <c r="C40" s="969"/>
      <c r="D40" s="969"/>
      <c r="E40" s="993"/>
      <c r="F40" s="993" t="n">
        <v>0</v>
      </c>
      <c r="G40" s="951" t="n">
        <f aca="false">E40-F40</f>
        <v>0</v>
      </c>
      <c r="H40" s="925"/>
      <c r="I40" s="510"/>
      <c r="J40" s="510"/>
      <c r="K40" s="510"/>
      <c r="L40" s="510"/>
      <c r="M40" s="510"/>
      <c r="N40" s="510"/>
      <c r="O40" s="510"/>
      <c r="P40" s="510"/>
      <c r="Q40" s="79" t="s">
        <v>89</v>
      </c>
      <c r="R40" s="78"/>
      <c r="S40" s="78"/>
      <c r="T40" s="78"/>
      <c r="U40" s="78"/>
      <c r="V40" s="510"/>
    </row>
    <row r="41" customFormat="false" ht="14.25" hidden="false" customHeight="false" outlineLevel="0" collapsed="false">
      <c r="A41" s="510"/>
      <c r="B41" s="911"/>
      <c r="C41" s="972"/>
      <c r="D41" s="972"/>
      <c r="E41" s="970"/>
      <c r="F41" s="970"/>
      <c r="G41" s="973" t="n">
        <f aca="false">E41-F41</f>
        <v>0</v>
      </c>
      <c r="H41" s="925"/>
      <c r="I41" s="510"/>
      <c r="J41" s="510"/>
      <c r="K41" s="510"/>
      <c r="L41" s="510"/>
      <c r="M41" s="510"/>
      <c r="N41" s="510"/>
      <c r="O41" s="510"/>
      <c r="P41" s="510"/>
      <c r="Q41" s="79" t="s">
        <v>90</v>
      </c>
      <c r="R41" s="78"/>
      <c r="S41" s="78"/>
      <c r="T41" s="78"/>
      <c r="U41" s="117"/>
      <c r="V41" s="510"/>
    </row>
    <row r="42" customFormat="false" ht="14.25" hidden="false" customHeight="false" outlineLevel="0" collapsed="false">
      <c r="A42" s="510"/>
      <c r="B42" s="911"/>
      <c r="C42" s="974"/>
      <c r="D42" s="974"/>
      <c r="E42" s="970"/>
      <c r="F42" s="970"/>
      <c r="G42" s="994" t="n">
        <f aca="false">E42-F42</f>
        <v>0</v>
      </c>
      <c r="H42" s="925"/>
      <c r="I42" s="510"/>
      <c r="J42" s="510"/>
      <c r="K42" s="510"/>
      <c r="L42" s="510"/>
      <c r="M42" s="510"/>
      <c r="N42" s="510"/>
      <c r="O42" s="510"/>
      <c r="P42" s="510"/>
      <c r="Q42" s="79" t="s">
        <v>192</v>
      </c>
      <c r="R42" s="78"/>
      <c r="S42" s="78"/>
      <c r="T42" s="78"/>
      <c r="U42" s="78"/>
      <c r="V42" s="510"/>
    </row>
    <row r="43" customFormat="false" ht="14.25" hidden="false" customHeight="false" outlineLevel="0" collapsed="false">
      <c r="A43" s="510"/>
      <c r="B43" s="911"/>
      <c r="C43" s="995" t="s">
        <v>700</v>
      </c>
      <c r="D43" s="995"/>
      <c r="E43" s="996" t="n">
        <f aca="false">SUM(E40:E42)</f>
        <v>0</v>
      </c>
      <c r="F43" s="996" t="n">
        <f aca="false">SUM(F40:F42)</f>
        <v>0</v>
      </c>
      <c r="G43" s="934" t="n">
        <f aca="false">SUM(G40:G42)</f>
        <v>0</v>
      </c>
      <c r="H43" s="925"/>
      <c r="I43" s="510"/>
      <c r="J43" s="510"/>
      <c r="K43" s="510"/>
      <c r="L43" s="510"/>
      <c r="M43" s="510"/>
      <c r="N43" s="510"/>
      <c r="O43" s="510"/>
      <c r="P43" s="510"/>
      <c r="Q43" s="79" t="s">
        <v>91</v>
      </c>
      <c r="R43" s="78"/>
      <c r="S43" s="78"/>
      <c r="T43" s="78"/>
      <c r="U43" s="78"/>
      <c r="V43" s="510"/>
    </row>
    <row r="44" customFormat="false" ht="14.25" hidden="false" customHeight="false" outlineLevel="0" collapsed="false">
      <c r="A44" s="510"/>
      <c r="B44" s="911"/>
      <c r="C44" s="954"/>
      <c r="D44" s="954"/>
      <c r="E44" s="945"/>
      <c r="F44" s="945"/>
      <c r="G44" s="945"/>
      <c r="H44" s="925"/>
      <c r="I44" s="510"/>
      <c r="J44" s="510"/>
      <c r="K44" s="510"/>
      <c r="L44" s="510"/>
      <c r="M44" s="510"/>
      <c r="N44" s="510"/>
      <c r="O44" s="510"/>
      <c r="P44" s="510"/>
      <c r="Q44" s="78"/>
      <c r="R44" s="78"/>
      <c r="S44" s="78"/>
      <c r="T44" s="78"/>
      <c r="U44" s="78"/>
      <c r="V44" s="510"/>
    </row>
    <row r="45" customFormat="false" ht="14.25" hidden="false" customHeight="false" outlineLevel="0" collapsed="false">
      <c r="A45" s="510"/>
      <c r="B45" s="911"/>
      <c r="C45" s="997" t="s">
        <v>701</v>
      </c>
      <c r="D45" s="997"/>
      <c r="E45" s="997"/>
      <c r="F45" s="997"/>
      <c r="G45" s="997"/>
      <c r="H45" s="925"/>
      <c r="I45" s="931"/>
      <c r="J45" s="931"/>
      <c r="K45" s="931"/>
      <c r="L45" s="931"/>
      <c r="M45" s="931"/>
      <c r="N45" s="931"/>
      <c r="O45" s="931"/>
      <c r="P45" s="931"/>
      <c r="Q45" s="78"/>
      <c r="R45" s="78"/>
      <c r="S45" s="78"/>
      <c r="T45" s="78"/>
      <c r="U45" s="78"/>
      <c r="V45" s="510"/>
    </row>
    <row r="46" customFormat="false" ht="14.25" hidden="false" customHeight="true" outlineLevel="0" collapsed="false">
      <c r="A46" s="510"/>
      <c r="B46" s="911"/>
      <c r="C46" s="998" t="s">
        <v>702</v>
      </c>
      <c r="D46" s="998"/>
      <c r="E46" s="998"/>
      <c r="F46" s="998"/>
      <c r="G46" s="998"/>
      <c r="H46" s="925"/>
      <c r="I46" s="510"/>
      <c r="J46" s="510"/>
      <c r="K46" s="510"/>
      <c r="L46" s="510"/>
      <c r="M46" s="510"/>
      <c r="N46" s="510"/>
      <c r="O46" s="510"/>
      <c r="P46" s="510"/>
      <c r="R46" s="78"/>
      <c r="S46" s="78"/>
      <c r="T46" s="78"/>
      <c r="U46" s="78"/>
      <c r="V46" s="510"/>
    </row>
    <row r="47" customFormat="false" ht="14.25" hidden="false" customHeight="false" outlineLevel="0" collapsed="false">
      <c r="A47" s="510"/>
      <c r="B47" s="999"/>
      <c r="C47" s="998"/>
      <c r="D47" s="998"/>
      <c r="E47" s="998"/>
      <c r="F47" s="998"/>
      <c r="G47" s="998"/>
      <c r="H47" s="992"/>
      <c r="I47" s="510"/>
      <c r="J47" s="510"/>
      <c r="K47" s="510"/>
      <c r="L47" s="510"/>
      <c r="M47" s="510"/>
      <c r="N47" s="510"/>
      <c r="O47" s="510"/>
      <c r="P47" s="510"/>
      <c r="R47" s="78"/>
      <c r="S47" s="78"/>
      <c r="T47" s="78"/>
      <c r="U47" s="78"/>
      <c r="V47" s="510"/>
    </row>
    <row r="48" customFormat="false" ht="15" hidden="false" customHeight="false" outlineLevel="0" collapsed="false">
      <c r="A48" s="510"/>
      <c r="B48" s="911"/>
      <c r="C48" s="1000" t="s">
        <v>703</v>
      </c>
      <c r="D48" s="1000"/>
      <c r="E48" s="1000"/>
      <c r="F48" s="1000"/>
      <c r="G48" s="1001" t="s">
        <v>416</v>
      </c>
      <c r="H48" s="949"/>
      <c r="I48" s="510"/>
      <c r="J48" s="510"/>
      <c r="K48" s="510"/>
      <c r="L48" s="510"/>
      <c r="M48" s="510"/>
      <c r="N48" s="510"/>
      <c r="O48" s="510"/>
      <c r="P48" s="510"/>
      <c r="T48" s="78"/>
      <c r="V48" s="510"/>
    </row>
    <row r="49" customFormat="false" ht="14.25" hidden="false" customHeight="false" outlineLevel="0" collapsed="false">
      <c r="A49" s="510"/>
      <c r="B49" s="999"/>
      <c r="C49" s="1002"/>
      <c r="D49" s="1002"/>
      <c r="E49" s="1002"/>
      <c r="F49" s="1002"/>
      <c r="G49" s="928"/>
      <c r="H49" s="992"/>
      <c r="I49" s="510"/>
      <c r="J49" s="510"/>
      <c r="K49" s="510"/>
      <c r="L49" s="510"/>
      <c r="M49" s="510"/>
      <c r="N49" s="510"/>
      <c r="O49" s="510"/>
      <c r="P49" s="510"/>
      <c r="T49" s="78"/>
      <c r="V49" s="510"/>
    </row>
    <row r="50" customFormat="false" ht="14.25" hidden="false" customHeight="false" outlineLevel="0" collapsed="false">
      <c r="A50" s="510"/>
      <c r="B50" s="999"/>
      <c r="C50" s="1003"/>
      <c r="D50" s="1003"/>
      <c r="E50" s="1003"/>
      <c r="F50" s="1003"/>
      <c r="G50" s="928"/>
      <c r="H50" s="992"/>
      <c r="I50" s="510"/>
      <c r="J50" s="510"/>
      <c r="K50" s="510"/>
      <c r="L50" s="510"/>
      <c r="M50" s="510"/>
      <c r="N50" s="510"/>
      <c r="O50" s="510"/>
      <c r="P50" s="510"/>
      <c r="V50" s="510"/>
    </row>
    <row r="51" customFormat="false" ht="14.25" hidden="false" customHeight="false" outlineLevel="0" collapsed="false">
      <c r="A51" s="510"/>
      <c r="B51" s="911"/>
      <c r="C51" s="1003"/>
      <c r="D51" s="1003"/>
      <c r="E51" s="1003"/>
      <c r="F51" s="1003"/>
      <c r="G51" s="928"/>
      <c r="H51" s="925"/>
      <c r="I51" s="510"/>
      <c r="J51" s="510"/>
      <c r="K51" s="510"/>
      <c r="L51" s="510"/>
      <c r="M51" s="510"/>
      <c r="N51" s="510"/>
      <c r="O51" s="510"/>
      <c r="P51" s="510"/>
      <c r="V51" s="510"/>
    </row>
    <row r="52" customFormat="false" ht="14.25" hidden="false" customHeight="false" outlineLevel="0" collapsed="false">
      <c r="A52" s="510"/>
      <c r="B52" s="911"/>
      <c r="C52" s="1003"/>
      <c r="D52" s="1003"/>
      <c r="E52" s="1003"/>
      <c r="F52" s="1003"/>
      <c r="G52" s="928"/>
      <c r="H52" s="925"/>
      <c r="I52" s="510"/>
      <c r="J52" s="510"/>
      <c r="K52" s="510"/>
      <c r="L52" s="510"/>
      <c r="M52" s="510"/>
      <c r="N52" s="510"/>
      <c r="O52" s="510"/>
      <c r="P52" s="510"/>
      <c r="V52" s="510"/>
    </row>
    <row r="53" customFormat="false" ht="14.25" hidden="false" customHeight="false" outlineLevel="0" collapsed="false">
      <c r="A53" s="510"/>
      <c r="B53" s="911"/>
      <c r="C53" s="1003"/>
      <c r="D53" s="1003"/>
      <c r="E53" s="1003"/>
      <c r="F53" s="1003"/>
      <c r="G53" s="928"/>
      <c r="H53" s="925"/>
      <c r="I53" s="510"/>
      <c r="J53" s="510"/>
      <c r="K53" s="510"/>
      <c r="L53" s="510"/>
      <c r="M53" s="510"/>
      <c r="N53" s="510"/>
      <c r="O53" s="510"/>
      <c r="P53" s="510"/>
      <c r="V53" s="510"/>
    </row>
    <row r="54" customFormat="false" ht="14.25" hidden="false" customHeight="false" outlineLevel="0" collapsed="false">
      <c r="A54" s="510"/>
      <c r="B54" s="911"/>
      <c r="C54" s="1003"/>
      <c r="D54" s="1003"/>
      <c r="E54" s="1003"/>
      <c r="F54" s="1003"/>
      <c r="G54" s="928"/>
      <c r="H54" s="925"/>
      <c r="I54" s="510"/>
      <c r="J54" s="510"/>
      <c r="K54" s="510"/>
      <c r="L54" s="510"/>
      <c r="M54" s="510"/>
      <c r="N54" s="510"/>
      <c r="O54" s="510"/>
      <c r="P54" s="510"/>
      <c r="V54" s="510"/>
    </row>
    <row r="55" customFormat="false" ht="14.25" hidden="false" customHeight="false" outlineLevel="0" collapsed="false">
      <c r="A55" s="510"/>
      <c r="B55" s="911"/>
      <c r="C55" s="1004"/>
      <c r="D55" s="1004"/>
      <c r="E55" s="1004"/>
      <c r="F55" s="1004"/>
      <c r="G55" s="1005"/>
      <c r="H55" s="925"/>
      <c r="I55" s="510"/>
      <c r="J55" s="510"/>
      <c r="K55" s="510"/>
      <c r="L55" s="510"/>
      <c r="M55" s="510"/>
      <c r="N55" s="510"/>
      <c r="O55" s="510"/>
      <c r="P55" s="510"/>
      <c r="V55" s="510"/>
    </row>
    <row r="56" customFormat="false" ht="14.25" hidden="false" customHeight="false" outlineLevel="0" collapsed="false">
      <c r="A56" s="510"/>
      <c r="B56" s="911"/>
      <c r="C56" s="932"/>
      <c r="D56" s="932"/>
      <c r="E56" s="1006"/>
      <c r="F56" s="933" t="s">
        <v>704</v>
      </c>
      <c r="G56" s="934" t="n">
        <f aca="false">SUM(G49:G55)</f>
        <v>0</v>
      </c>
      <c r="H56" s="925"/>
      <c r="I56" s="510"/>
      <c r="J56" s="510"/>
      <c r="K56" s="510"/>
      <c r="L56" s="510"/>
      <c r="M56" s="510"/>
      <c r="N56" s="510"/>
      <c r="O56" s="510"/>
      <c r="P56" s="510"/>
      <c r="V56" s="510"/>
    </row>
    <row r="57" customFormat="false" ht="14.25" hidden="false" customHeight="false" outlineLevel="0" collapsed="false">
      <c r="A57" s="510"/>
      <c r="B57" s="911"/>
      <c r="C57" s="960" t="s">
        <v>284</v>
      </c>
      <c r="D57" s="960"/>
      <c r="E57" s="960"/>
      <c r="F57" s="960"/>
      <c r="G57" s="960"/>
      <c r="H57" s="925"/>
      <c r="I57" s="510"/>
      <c r="J57" s="510"/>
      <c r="K57" s="510"/>
      <c r="L57" s="510"/>
      <c r="M57" s="510"/>
      <c r="N57" s="510"/>
      <c r="O57" s="510"/>
      <c r="P57" s="510"/>
      <c r="V57" s="510"/>
    </row>
    <row r="58" customFormat="false" ht="14.25" hidden="false" customHeight="false" outlineLevel="0" collapsed="false">
      <c r="A58" s="510"/>
      <c r="B58" s="911"/>
      <c r="C58" s="961" t="s">
        <v>705</v>
      </c>
      <c r="D58" s="961"/>
      <c r="E58" s="961"/>
      <c r="F58" s="961"/>
      <c r="G58" s="961"/>
      <c r="H58" s="925"/>
      <c r="I58" s="510"/>
      <c r="J58" s="510"/>
      <c r="K58" s="510"/>
      <c r="L58" s="510"/>
      <c r="M58" s="510"/>
      <c r="N58" s="510"/>
      <c r="O58" s="510"/>
      <c r="P58" s="510"/>
      <c r="V58" s="510"/>
    </row>
    <row r="59" customFormat="false" ht="14.25" hidden="false" customHeight="false" outlineLevel="0" collapsed="false">
      <c r="A59" s="510"/>
      <c r="B59" s="510"/>
      <c r="C59" s="510"/>
      <c r="D59" s="510"/>
      <c r="E59" s="510"/>
      <c r="F59" s="510"/>
      <c r="G59" s="510"/>
      <c r="H59" s="510"/>
      <c r="I59" s="510"/>
      <c r="J59" s="510"/>
      <c r="K59" s="510"/>
      <c r="L59" s="510"/>
      <c r="M59" s="510"/>
      <c r="N59" s="510"/>
      <c r="O59" s="510"/>
      <c r="P59" s="510"/>
      <c r="V59" s="510"/>
    </row>
    <row r="60" customFormat="false" ht="14.25" hidden="false" customHeight="false" outlineLevel="0" collapsed="false">
      <c r="A60" s="510"/>
      <c r="B60" s="510"/>
      <c r="C60" s="510"/>
      <c r="D60" s="510"/>
      <c r="E60" s="510"/>
      <c r="F60" s="510"/>
      <c r="G60" s="510"/>
      <c r="H60" s="510"/>
      <c r="I60" s="510"/>
      <c r="J60" s="510"/>
      <c r="K60" s="510"/>
      <c r="L60" s="510"/>
      <c r="M60" s="510"/>
      <c r="N60" s="510"/>
      <c r="O60" s="510"/>
      <c r="P60" s="510"/>
      <c r="V60" s="510"/>
    </row>
    <row r="61" customFormat="false" ht="14.25" hidden="false" customHeight="false" outlineLevel="0" collapsed="false">
      <c r="A61" s="510"/>
      <c r="B61" s="510"/>
      <c r="C61" s="510"/>
      <c r="D61" s="510"/>
      <c r="E61" s="510"/>
      <c r="F61" s="510"/>
      <c r="G61" s="510"/>
      <c r="H61" s="510"/>
      <c r="I61" s="510"/>
      <c r="J61" s="510"/>
      <c r="K61" s="510"/>
      <c r="L61" s="510"/>
      <c r="M61" s="510"/>
      <c r="N61" s="510"/>
      <c r="O61" s="510"/>
      <c r="P61" s="510"/>
      <c r="V61" s="510"/>
    </row>
    <row r="62" customFormat="false" ht="14.25" hidden="false" customHeight="false" outlineLevel="0" collapsed="false">
      <c r="A62" s="510"/>
      <c r="B62" s="510"/>
      <c r="C62" s="510"/>
      <c r="D62" s="510"/>
      <c r="E62" s="510"/>
      <c r="F62" s="510"/>
      <c r="G62" s="510"/>
      <c r="H62" s="510"/>
      <c r="I62" s="510"/>
      <c r="J62" s="510"/>
      <c r="K62" s="510"/>
      <c r="L62" s="510"/>
      <c r="M62" s="510"/>
      <c r="N62" s="510"/>
      <c r="O62" s="510"/>
      <c r="P62" s="510"/>
      <c r="V62" s="510"/>
    </row>
    <row r="63" customFormat="false" ht="14.25" hidden="false" customHeight="false" outlineLevel="0" collapsed="false">
      <c r="A63" s="510"/>
      <c r="B63" s="510"/>
      <c r="C63" s="510"/>
      <c r="D63" s="510"/>
      <c r="E63" s="510"/>
      <c r="F63" s="510"/>
      <c r="G63" s="510"/>
      <c r="H63" s="510"/>
      <c r="I63" s="510"/>
      <c r="J63" s="510"/>
      <c r="K63" s="510"/>
      <c r="L63" s="510"/>
      <c r="M63" s="510"/>
      <c r="N63" s="510"/>
      <c r="O63" s="510"/>
      <c r="P63" s="510"/>
      <c r="V63" s="510"/>
    </row>
    <row r="64" customFormat="false" ht="14.25" hidden="false" customHeight="false" outlineLevel="0" collapsed="false">
      <c r="A64" s="510"/>
      <c r="B64" s="510"/>
      <c r="C64" s="510"/>
      <c r="D64" s="510"/>
      <c r="E64" s="510"/>
      <c r="F64" s="510"/>
      <c r="G64" s="510"/>
      <c r="H64" s="510"/>
      <c r="I64" s="510"/>
      <c r="J64" s="510"/>
      <c r="K64" s="510"/>
      <c r="L64" s="510"/>
      <c r="M64" s="510"/>
      <c r="N64" s="510"/>
      <c r="O64" s="510"/>
      <c r="P64" s="510"/>
      <c r="V64" s="510"/>
    </row>
    <row r="65" customFormat="false" ht="14.25" hidden="false" customHeight="false" outlineLevel="0" collapsed="false">
      <c r="A65" s="510"/>
      <c r="B65" s="510"/>
      <c r="C65" s="510"/>
      <c r="D65" s="510"/>
      <c r="E65" s="510"/>
      <c r="F65" s="510"/>
      <c r="G65" s="510"/>
      <c r="H65" s="510"/>
      <c r="I65" s="510"/>
      <c r="J65" s="510"/>
      <c r="K65" s="510"/>
      <c r="L65" s="510"/>
      <c r="M65" s="510"/>
      <c r="N65" s="510"/>
      <c r="O65" s="510"/>
      <c r="P65" s="510"/>
      <c r="V65" s="510"/>
    </row>
    <row r="66" customFormat="false" ht="14.25" hidden="false" customHeight="false" outlineLevel="0" collapsed="false">
      <c r="A66" s="510"/>
      <c r="B66" s="510"/>
      <c r="C66" s="510"/>
      <c r="D66" s="510"/>
      <c r="E66" s="510"/>
      <c r="F66" s="510"/>
      <c r="G66" s="510"/>
      <c r="H66" s="510"/>
      <c r="I66" s="510"/>
      <c r="J66" s="510"/>
      <c r="K66" s="510"/>
      <c r="L66" s="510"/>
      <c r="M66" s="510"/>
      <c r="N66" s="510"/>
      <c r="O66" s="510"/>
      <c r="P66" s="510"/>
      <c r="V66" s="510"/>
    </row>
    <row r="67" customFormat="false" ht="14.25" hidden="false" customHeight="false" outlineLevel="0" collapsed="false">
      <c r="A67" s="510"/>
      <c r="B67" s="510"/>
      <c r="C67" s="510"/>
      <c r="D67" s="510"/>
      <c r="E67" s="510"/>
      <c r="F67" s="510"/>
      <c r="G67" s="510"/>
      <c r="H67" s="510"/>
      <c r="I67" s="510"/>
      <c r="J67" s="510"/>
      <c r="K67" s="510"/>
      <c r="L67" s="510"/>
      <c r="M67" s="510"/>
      <c r="N67" s="510"/>
      <c r="O67" s="510"/>
      <c r="P67" s="510"/>
      <c r="V67" s="510"/>
    </row>
    <row r="68" customFormat="false" ht="14.25" hidden="false" customHeight="false" outlineLevel="0" collapsed="false">
      <c r="A68" s="510"/>
      <c r="B68" s="510"/>
      <c r="C68" s="510"/>
      <c r="D68" s="510"/>
      <c r="E68" s="510"/>
      <c r="F68" s="510"/>
      <c r="G68" s="510"/>
      <c r="H68" s="510"/>
      <c r="I68" s="510"/>
      <c r="J68" s="510"/>
      <c r="K68" s="510"/>
      <c r="L68" s="510"/>
      <c r="M68" s="510"/>
      <c r="N68" s="510"/>
      <c r="O68" s="510"/>
      <c r="P68" s="510"/>
      <c r="V68" s="510"/>
    </row>
    <row r="69" customFormat="false" ht="14.25" hidden="false" customHeight="false" outlineLevel="0" collapsed="false">
      <c r="A69" s="510"/>
      <c r="B69" s="510"/>
      <c r="C69" s="510"/>
      <c r="D69" s="510"/>
      <c r="E69" s="510"/>
      <c r="F69" s="510"/>
      <c r="G69" s="510"/>
      <c r="H69" s="510"/>
      <c r="I69" s="510"/>
      <c r="J69" s="510"/>
      <c r="K69" s="510"/>
      <c r="L69" s="510"/>
      <c r="M69" s="510"/>
      <c r="N69" s="510"/>
      <c r="O69" s="510"/>
      <c r="P69" s="510"/>
      <c r="V69" s="510"/>
    </row>
    <row r="70" customFormat="false" ht="14.25" hidden="false" customHeight="false" outlineLevel="0" collapsed="false">
      <c r="A70" s="510"/>
      <c r="I70" s="510"/>
      <c r="J70" s="510"/>
      <c r="K70" s="510"/>
      <c r="L70" s="510"/>
      <c r="M70" s="510"/>
      <c r="N70" s="510"/>
      <c r="O70" s="510"/>
      <c r="P70" s="510"/>
      <c r="V70" s="510"/>
    </row>
  </sheetData>
  <sheetProtection algorithmName="SHA-512" hashValue="pJZb9hA0HmGY+ZdAbZWXqMb1zXnJx+Niaf7Szzyx1R1IhZAbtSCfwpdvWQG2uOZbwwWYPIo5nRuu5XyVvqM9TA==" saltValue="TKfmvW6ODXW4/Q07EUg04A==" spinCount="100000" sheet="true" objects="true" scenarios="true"/>
  <mergeCells count="42">
    <mergeCell ref="C3:G3"/>
    <mergeCell ref="C4:G4"/>
    <mergeCell ref="C6:G6"/>
    <mergeCell ref="C8:H8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F27"/>
    <mergeCell ref="C36:D36"/>
    <mergeCell ref="C37:D37"/>
    <mergeCell ref="C38:D38"/>
    <mergeCell ref="C39:D39"/>
    <mergeCell ref="C40:D40"/>
    <mergeCell ref="C41:D41"/>
    <mergeCell ref="C42:D42"/>
    <mergeCell ref="C43:D43"/>
    <mergeCell ref="C45:G45"/>
    <mergeCell ref="C46:G47"/>
    <mergeCell ref="C48:F48"/>
    <mergeCell ref="C49:F49"/>
    <mergeCell ref="C50:F50"/>
    <mergeCell ref="C51:F51"/>
    <mergeCell ref="C52:F52"/>
    <mergeCell ref="C53:F53"/>
    <mergeCell ref="C54:F54"/>
    <mergeCell ref="C55:F55"/>
    <mergeCell ref="C56:D56"/>
    <mergeCell ref="C57:G57"/>
    <mergeCell ref="C58:G58"/>
  </mergeCells>
  <conditionalFormatting sqref="G49:G55 G12:G26 G40:G42">
    <cfRule type="cellIs" priority="2" operator="lessThan" aboveAverage="0" equalAverage="0" bottom="0" percent="0" rank="0" text="" dxfId="32">
      <formula>0</formula>
    </cfRule>
  </conditionalFormatting>
  <dataValidations count="2">
    <dataValidation allowBlank="true" error="Enter a dollar amount." errorStyle="stop" operator="greaterThanOrEqual" showDropDown="false" showErrorMessage="true" showInputMessage="true" sqref="G12:G26 G40:G42 G49:G55" type="decimal">
      <formula1>-999999</formula1>
      <formula2>0</formula2>
    </dataValidation>
    <dataValidation allowBlank="true" errorStyle="stop" operator="between" showDropDown="false" showErrorMessage="true" showInputMessage="true" sqref="D29:D35" type="list">
      <formula1>Contents!$C$91:$C$92</formula1>
      <formula2>0</formula2>
    </dataValidation>
  </dataValidations>
  <hyperlinks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U1" location="Contents!A1" display="CONTENTS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U2" location="CONTACT_INFO_1!A1" display="1. CONTACT INFO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U3" location="PRIMARY_ACCOUNT_2a!A1" display="2.a PRIMARY ACCOUNT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U4" location="SECONDARY_ACCOUNTS_2b!A1" display="2.b SECONDARY ACCOUNTS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U5" location="BALANCE_3!A1" display="3. BALANC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U6" location="INCOME_4!A1" display="4. INCOME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U7" location="ASSET_DTL_5a!A1" display="5.a ASSET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U8" location="LIABILITY_DTL_5b!A1" display="5.b LIABILITY DTL"/>
    <hyperlink ref="Q9" location="INVENTORY_DTL_6!A1" display="6. INVENTORY DTL"/>
    <hyperlink ref="R9" location="INVENTORY_DTL_6!A1" display="6. INVENTORY DTL"/>
    <hyperlink ref="S9" location="TRANSFER_IN_9!A1" display="9. TRANSFER IN"/>
    <hyperlink ref="T9" location="TRANSFER_IN_9!A1" display="9. TRANSFER IN"/>
    <hyperlink ref="U9" location="INVENTORY_DTL_6!A1" display="6. INVENTORY DTL"/>
    <hyperlink ref="Q10" location="REGALIA_SALES_DTL_7!A1" display="7. REGALIA SALES DTL"/>
    <hyperlink ref="R10" location="REGALIA_SALES_DTL_7!A1" display="7. REGALIA SALES DTL"/>
    <hyperlink ref="S10" location="TRANSFER_OUT_10!A1" display="10. TRANSFER OUT"/>
    <hyperlink ref="T10" location="TRANSFER_OUT_10!A1" display="10. TRANSFER OUT"/>
    <hyperlink ref="U10" location="REGALIA_SALES_DTL_7!A1" display="7. REGALIA SALES DTL"/>
    <hyperlink ref="Q11" location="DEPR_DTL_8!A1" display="8. DEPRECIATION DTL"/>
    <hyperlink ref="R11" location="DEPR_DTL_8!A1" display="8. DEPRECIATION DTL"/>
    <hyperlink ref="S11" location="INCOME_DTL_11a!A1" display="11.a INCOME DTL"/>
    <hyperlink ref="T11" location="INCOME_DTL_11a!A1" display="11.a INCOME DTL"/>
    <hyperlink ref="U11" location="DEPR_DTL_8!A1" display="8. DEPRECIATION DTL"/>
    <hyperlink ref="Q12" location="TRANSFER_IN_9!A1" display="9. TRANSFER IN"/>
    <hyperlink ref="R12" location="TRANSFER_IN_9!A1" display="9. TRANSFER IN"/>
    <hyperlink ref="S12" location="INCOME_DTL_11b!A1" display="11.b INCOME DTL"/>
    <hyperlink ref="T12" location="INCOME_DTL_11b!A1" display="11.b INCOME DTL"/>
    <hyperlink ref="U12" location="TRANSFER_IN_9!A1" display="9. TRANSFER IN"/>
    <hyperlink ref="Q13" location="TRANSFER_OUT_10!A1" display="10. TRANSFER OUT"/>
    <hyperlink ref="R13" location="TRANSFER_OUT_10!A1" display="10. TRANSFER OUT"/>
    <hyperlink ref="S13" location="INCOME_DTL_11c!A1" display="11.c INCOME DTL"/>
    <hyperlink ref="T13" location="INCOME_DTL_11c!A1" display="11.c INCOME DTL"/>
    <hyperlink ref="U13" location="TRANSFER_OUT_10!A1" display="10. TRANSFER OUT"/>
    <hyperlink ref="Q14" location="INCOME_DTL_11a!A1" display="11.a INCOME DTL"/>
    <hyperlink ref="R14" location="INCOME_DTL_11a!A1" display="11.a INCOME DTL"/>
    <hyperlink ref="S14" location="EXPENSE_DTL_12a!A1" display="12.a EXPENSE DTL"/>
    <hyperlink ref="T14" location="EXPENSE_DTL_12a!A1" display="12.a EXPENSE DTL"/>
    <hyperlink ref="U14" location="INCOME_DTL_11a!A1" display="11.a INCOME DTL"/>
    <hyperlink ref="Q15" location="INCOME_DTL_11b!A1" display="11.b INCOME DTL"/>
    <hyperlink ref="R15" location="INCOME_DTL_11b!A1" display="11.b INCOME DTL"/>
    <hyperlink ref="S15" location="EXPENSE_DTL_12b!A1" display="12.b EXPENSE DTL"/>
    <hyperlink ref="T15" location="EXPENSE_DTL_12b!A1" display="12.b EXPENSE DTL"/>
    <hyperlink ref="U15" location="INCOME_DTL_11b!A1" display="11.b INCOME DTL"/>
    <hyperlink ref="Q16" location="INCOME_DTL_11c!A1" display="11.c INCOME DTL"/>
    <hyperlink ref="R16" location="INCOME_DTL_11c!A1" display="11.c INCOME DTL"/>
    <hyperlink ref="S16" location="FINANCE_COMM_13!A1" display="13. FINANCE COMM"/>
    <hyperlink ref="T16" location="FINANCE_COMM_13!A1" display="13. FINANCE COMM"/>
    <hyperlink ref="U16" location="INCOME_DTL_11c!A1" display="11.c INCOME DTL"/>
    <hyperlink ref="Q17" location="EXPENSE_DTL_12a!A1" display="12.a EXPENSE DTL"/>
    <hyperlink ref="R17" location="EXPENSE_DTL_12a!A1" display="12.a EXPENSE DTL"/>
    <hyperlink ref="S17" location="COMMENTS!A1" display="COMMENTS"/>
    <hyperlink ref="T17" location="FUNDS_14!A1" display="14. FUNDS"/>
    <hyperlink ref="U17" location="EXPENSE_DTL_12a!A1" display="12.a EXPENSE DTL"/>
    <hyperlink ref="Q18" location="EXPENSE_DTL_12b!A1" display="12.b EXPENSE DTL"/>
    <hyperlink ref="R18" location="EXPENSE_DTL_12b!A1" display="12.b EXPENSE DTL"/>
    <hyperlink ref="S18" location="FreeForm!A1" display="FREE FORM"/>
    <hyperlink ref="T18" location="COMMENTS!A1" display="COMMENTS"/>
    <hyperlink ref="U18" location="EXPENSE_DTL_12b!A1" display="12.b EXPENSE DTL"/>
    <hyperlink ref="Q19" location="FINANCE_COMM_13!A1" display="13. FINANCE COMM"/>
    <hyperlink ref="R19" location="FINANCE_COMM_13!A1" display="13. FINANCE COMM"/>
    <hyperlink ref="T19" location="ASSET_DTL_5c!A1" display="5.c ASSET DTL"/>
    <hyperlink ref="U19" location="FINANCE_COMM_13!A1" display="13. FINANCE COMM"/>
    <hyperlink ref="Q20" location="FUNDS_14!A1" display="14. FUNDS"/>
    <hyperlink ref="R20" location="FUNDS_14!A1" display="14. FUNDS"/>
    <hyperlink ref="T20" location="LIABILITY_DTL_5d!A1" display="5.d LIABILITY DTL"/>
    <hyperlink ref="U20" location="FUNDS_14!A1" display="14. FUNDS"/>
    <hyperlink ref="Q21" location="NEWSLETTER_15!A1" display="15. NEWSLETTER"/>
    <hyperlink ref="R21" location="NEWSLETTER_15!A1" display="15. NEWSLETTER"/>
    <hyperlink ref="T21" location="LIABILITY_DTL_5e!A1" display="5.e LIABILITY DTL"/>
    <hyperlink ref="U21" location="NEWSLETTER_15!A1" display="15. NEWSLETTER"/>
    <hyperlink ref="Q22" location="COMMENTS!A1" display="COMMENTS"/>
    <hyperlink ref="R22" location="COMMENTS!A1" display="COMMENTS"/>
    <hyperlink ref="T22" location="LIABILITY_DTL_5f!A1" display="5.f LIABILITY DTL"/>
    <hyperlink ref="U22" location="COMMENTS!A1" display="COMMENTS"/>
    <hyperlink ref="Q23" location="SECONDARY_ACCOUNTS_2c!A1" display="2.c SECONDARY ACCOUNTS"/>
    <hyperlink ref="R23" location="TRANSFER_IN_9b!A1" display="9.b TRANSFER IN"/>
    <hyperlink ref="T23" location="LIABILITY_DTL_5g!A1" display="5.g LIABILITY DTL"/>
    <hyperlink ref="U23" location="SECONDARY_ACCOUNTS_2c!A1" display="2.c SECONDARY ACCOUNTS"/>
    <hyperlink ref="Q24" location="SECONDARY_ACCOUNTS_2d!A1" display="2.d SECONDARY ACCOUNTS"/>
    <hyperlink ref="R24" location="TRANSFER_OUT_10b!A1" display="10.b TRANSFER OUT"/>
    <hyperlink ref="T24" location="LIABILITY_DTL_5h!A1" display="5.h LIABILITY DTL"/>
    <hyperlink ref="U24" location="SECONDARY_ACCOUNTS_2d!A1" display="2.d SECONDARY ACCOUNTS"/>
    <hyperlink ref="Q25" location="ASSET_DTL_5c!A1" display="5.c ASSET DTL"/>
    <hyperlink ref="R25" location="FreeForm!A1" display="FREE FORM"/>
    <hyperlink ref="T25" location="LIABILITY_DTL_5i!A1" display="5.i LIABILITY DTL"/>
    <hyperlink ref="U25" location="ASSET_DTL_5c!A1" display="5.c ASSET DTL"/>
    <hyperlink ref="Q26" location="LIABILITY_DTL_5d!A1" display="5.d LIABILITY DTL"/>
    <hyperlink ref="T26" location="TRANSFER_IN_9b!A1" display="9.b TRANSFER IN"/>
    <hyperlink ref="U26" location="LIABILITY_DTL_5d!A1" display="5.d LIABILITY DTL"/>
    <hyperlink ref="Q27" location="LIABILITY_DTL_5e!A1" display="5.e LIABILITY DTL"/>
    <hyperlink ref="T27" location="TRANSFER_IN_9c!A1" display="9.c TRANSFER IN"/>
    <hyperlink ref="U27" location="INVENTORY_DTL_6b!A1" display="6.b INVENTORY DTL"/>
    <hyperlink ref="Q28" location="LIABILITY_DTL_5f!A1" display="5.f LIABILITY DTL"/>
    <hyperlink ref="T28" location="TRANSFER_IN_9d!A1" display="9.d TRANSFER IN"/>
    <hyperlink ref="U28" location="INVENTORY_DTL_6c!A1" display="7.b REGALIA SALES DTL"/>
    <hyperlink ref="Q29" location="LIABILITY_DTL_5g!A1" display="5.g LIABILITY DTL"/>
    <hyperlink ref="T29" location="TRANSFER_OUT_10b!A1" display="10.b TRANSFER OUT"/>
    <hyperlink ref="U29" location="REGALIA_SALES_DTL_7b!A1" display="8.b DEPR DTL"/>
    <hyperlink ref="Q30" location="LIABILITY_DTL_5h!A1" display="5.h LIABILITY DTL"/>
    <hyperlink ref="T30" location="FreeForm!A1" display="FREE FORM"/>
    <hyperlink ref="U30" location="DEPR_DTL_8b!A1" display="8.c DEPR DTL"/>
    <hyperlink ref="Q31" location="LIABILITY_DTL_5i!A1" display="5.i LIABILITY DTL"/>
    <hyperlink ref="U31" location="DEPR_DTL_8c!A1" display="9.b TRANSFER IN"/>
    <hyperlink ref="Q32" location="INVENTORY_DTL_6b!A1" display="6.b INVENTORY DTL"/>
    <hyperlink ref="U32" location="TRANSFER_IN_9b!A1" display="9.c TRANSFER IN"/>
    <hyperlink ref="Q33" location="REGALIA_SALES_DTL_7b!A1" display="7.b REGALIA SALES DTL"/>
    <hyperlink ref="U33" location="TRANSFER_IN_9c!A1" display="9.d TRANSFER IN"/>
    <hyperlink ref="Q34" location="DEPR_DTL_8b!A1" display="8.b DEPR DTL"/>
    <hyperlink ref="U34" location="TRANSFER_IN_9d!A1" display="10.b TRANSFER OUT"/>
    <hyperlink ref="Q35" location="DEPR_DTL_8c!A1" display="8.c DEPR DTL"/>
    <hyperlink ref="U35" location="TRANSFER_OUT_10b!A1" display="10.c TRANSFER OUT"/>
    <hyperlink ref="Q36" location="TRANSFER_IN_9b!A1" display="9.b TRANSFER IN"/>
    <hyperlink ref="U36" location="TRANSFER_OUT_10c!A1" display="10.d TRANSFER OUT"/>
    <hyperlink ref="Q37" location="TRANSFER_IN_9c!A1" display="9.c TRANSFER IN"/>
    <hyperlink ref="U37" location="TRANSFER_OUT_10d!A1" display="12.c EXPENSE DETAIL"/>
    <hyperlink ref="Q38" location="TRANSFER_IN_9d!A1" display="9.d TRANSFER IN"/>
    <hyperlink ref="U38" location="EXPENSE_DTL_12c!A1" display="FREE FORM"/>
    <hyperlink ref="Q39" location="TRANSFER_OUT_10b!A1" display="10.b TRANSFER OUT"/>
    <hyperlink ref="Q40" location="TRANSFER_OUT_10c!A1" display="10.c TRANSFER OUT"/>
    <hyperlink ref="Q41" location="TRANSFER_OUT_10d!A1" display="10.d TRANSFER OUT"/>
    <hyperlink ref="Q42" location="EXPENSE_DTL_12c!A1" display="12.c EXPENSE DETAIL"/>
    <hyperlink ref="Q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89"/>
  <sheetViews>
    <sheetView showFormulas="false" showGridLines="true" showRowColHeaders="true" showZeros="true" rightToLeft="false" tabSelected="false" showOutlineSymbols="true" defaultGridColor="true" view="normal" topLeftCell="D35" colorId="64" zoomScale="100" zoomScaleNormal="100" zoomScalePageLayoutView="100" workbookViewId="0">
      <selection pane="topLeft" activeCell="P43" activeCellId="0" sqref="P43"/>
    </sheetView>
  </sheetViews>
  <sheetFormatPr defaultColWidth="4.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50.62"/>
    <col collapsed="false" customWidth="true" hidden="false" outlineLevel="0" max="4" min="4" style="1" width="40.62"/>
    <col collapsed="false" customWidth="true" hidden="false" outlineLevel="0" max="7" min="5" style="1" width="15.62"/>
    <col collapsed="false" customWidth="true" hidden="false" outlineLevel="0" max="9" min="8" style="1" width="3.62"/>
    <col collapsed="false" customWidth="false" hidden="true" outlineLevel="0" max="15" min="10" style="1" width="4.62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4.62"/>
  </cols>
  <sheetData>
    <row r="1" customFormat="false" ht="14.25" hidden="false" customHeight="false" outlineLevel="0" collapsed="false">
      <c r="A1" s="910"/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510"/>
    </row>
    <row r="2" customFormat="false" ht="14.25" hidden="false" customHeight="false" outlineLevel="0" collapsed="false">
      <c r="A2" s="510"/>
      <c r="B2" s="911"/>
      <c r="C2" s="81" t="str">
        <f aca="false">Contents!B59</f>
        <v>Version: AS L 6 LARGE locked LOCAL</v>
      </c>
      <c r="D2" s="81"/>
      <c r="E2" s="81"/>
      <c r="F2" s="911"/>
      <c r="G2" s="911"/>
      <c r="H2" s="911"/>
      <c r="I2" s="510"/>
      <c r="J2" s="510"/>
      <c r="K2" s="510"/>
      <c r="L2" s="510"/>
      <c r="M2" s="510"/>
      <c r="N2" s="510"/>
      <c r="O2" s="51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510"/>
    </row>
    <row r="3" customFormat="false" ht="14.25" hidden="false" customHeight="false" outlineLevel="0" collapsed="false">
      <c r="A3" s="912"/>
      <c r="B3" s="913"/>
      <c r="C3" s="914" t="str">
        <f aca="false">Contents!$E$3</f>
        <v>THE SOCIETY FOR CREATIVE ANACHRONISM, INC.</v>
      </c>
      <c r="D3" s="914"/>
      <c r="E3" s="914"/>
      <c r="F3" s="914"/>
      <c r="G3" s="914"/>
      <c r="H3" s="915"/>
      <c r="I3" s="912"/>
      <c r="J3" s="912"/>
      <c r="K3" s="912"/>
      <c r="L3" s="912"/>
      <c r="M3" s="912"/>
      <c r="N3" s="912"/>
      <c r="O3" s="912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912"/>
    </row>
    <row r="4" customFormat="false" ht="14.25" hidden="false" customHeight="false" outlineLevel="0" collapsed="false">
      <c r="A4" s="510"/>
      <c r="B4" s="913"/>
      <c r="C4" s="914" t="str">
        <f aca="false">Contents!$E$4</f>
        <v>FINANCIAL REPORT</v>
      </c>
      <c r="D4" s="914"/>
      <c r="E4" s="914"/>
      <c r="F4" s="914"/>
      <c r="G4" s="914"/>
      <c r="H4" s="915"/>
      <c r="I4" s="510"/>
      <c r="J4" s="510"/>
      <c r="K4" s="510"/>
      <c r="L4" s="510"/>
      <c r="M4" s="510"/>
      <c r="N4" s="510"/>
      <c r="O4" s="51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510"/>
    </row>
    <row r="5" customFormat="false" ht="14.25" hidden="false" customHeight="false" outlineLevel="0" collapsed="false">
      <c r="A5" s="510"/>
      <c r="B5" s="911"/>
      <c r="C5" s="911"/>
      <c r="D5" s="911"/>
      <c r="E5" s="911"/>
      <c r="F5" s="911"/>
      <c r="G5" s="911"/>
      <c r="H5" s="911"/>
      <c r="I5" s="510"/>
      <c r="J5" s="510"/>
      <c r="K5" s="510"/>
      <c r="L5" s="510"/>
      <c r="M5" s="510"/>
      <c r="N5" s="510"/>
      <c r="O5" s="51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510"/>
    </row>
    <row r="6" customFormat="false" ht="14.25" hidden="false" customHeight="false" outlineLevel="0" collapsed="false">
      <c r="A6" s="510"/>
      <c r="B6" s="911"/>
      <c r="C6" s="916" t="str">
        <f aca="false">Contents!B58</f>
        <v>Branch:   SCA, Inc.- Middle Kingdom                                               Period:  1/01/2025             to     12/31/2025            .</v>
      </c>
      <c r="D6" s="916"/>
      <c r="E6" s="916"/>
      <c r="F6" s="916"/>
      <c r="G6" s="916"/>
      <c r="H6" s="911"/>
      <c r="I6" s="510"/>
      <c r="J6" s="510"/>
      <c r="K6" s="510"/>
      <c r="L6" s="510"/>
      <c r="M6" s="510"/>
      <c r="N6" s="510"/>
      <c r="O6" s="510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510"/>
    </row>
    <row r="7" customFormat="false" ht="14.25" hidden="false" customHeight="false" outlineLevel="0" collapsed="false">
      <c r="A7" s="510"/>
      <c r="B7" s="911"/>
      <c r="C7" s="911"/>
      <c r="D7" s="911"/>
      <c r="E7" s="911"/>
      <c r="F7" s="911"/>
      <c r="G7" s="911"/>
      <c r="H7" s="911"/>
      <c r="I7" s="510"/>
      <c r="J7" s="510"/>
      <c r="K7" s="510"/>
      <c r="L7" s="510"/>
      <c r="M7" s="510"/>
      <c r="N7" s="510"/>
      <c r="O7" s="51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510"/>
    </row>
    <row r="8" customFormat="false" ht="17.35" hidden="false" customHeight="false" outlineLevel="0" collapsed="false">
      <c r="A8" s="510"/>
      <c r="B8" s="911"/>
      <c r="C8" s="917" t="s">
        <v>706</v>
      </c>
      <c r="D8" s="917"/>
      <c r="E8" s="917"/>
      <c r="F8" s="917"/>
      <c r="G8" s="917"/>
      <c r="H8" s="917"/>
      <c r="I8" s="510"/>
      <c r="J8" s="510"/>
      <c r="K8" s="510"/>
      <c r="L8" s="510"/>
      <c r="M8" s="510"/>
      <c r="N8" s="510"/>
      <c r="O8" s="510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510"/>
    </row>
    <row r="9" customFormat="false" ht="17.35" hidden="false" customHeight="false" outlineLevel="0" collapsed="false">
      <c r="A9" s="510"/>
      <c r="B9" s="911"/>
      <c r="C9" s="1007"/>
      <c r="D9" s="1007"/>
      <c r="E9" s="1007"/>
      <c r="F9" s="962"/>
      <c r="G9" s="962"/>
      <c r="H9" s="911"/>
      <c r="I9" s="510"/>
      <c r="J9" s="510"/>
      <c r="K9" s="510"/>
      <c r="L9" s="510"/>
      <c r="M9" s="510"/>
      <c r="N9" s="510"/>
      <c r="O9" s="51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510"/>
    </row>
    <row r="10" customFormat="false" ht="15" hidden="false" customHeight="false" outlineLevel="0" collapsed="false">
      <c r="A10" s="510"/>
      <c r="B10" s="911"/>
      <c r="C10" s="1008" t="s">
        <v>707</v>
      </c>
      <c r="D10" s="1008"/>
      <c r="E10" s="1008"/>
      <c r="F10" s="1008"/>
      <c r="G10" s="1008"/>
      <c r="H10" s="921"/>
      <c r="I10" s="510"/>
      <c r="J10" s="510"/>
      <c r="K10" s="510"/>
      <c r="L10" s="510"/>
      <c r="M10" s="510"/>
      <c r="N10" s="510"/>
      <c r="O10" s="51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510"/>
    </row>
    <row r="11" customFormat="false" ht="14.25" hidden="false" customHeight="false" outlineLevel="0" collapsed="false">
      <c r="A11" s="510"/>
      <c r="B11" s="911"/>
      <c r="C11" s="988"/>
      <c r="D11" s="989"/>
      <c r="E11" s="989"/>
      <c r="F11" s="989"/>
      <c r="G11" s="1009"/>
      <c r="H11" s="925"/>
      <c r="I11" s="510"/>
      <c r="J11" s="510"/>
      <c r="K11" s="510"/>
      <c r="L11" s="510"/>
      <c r="M11" s="510"/>
      <c r="N11" s="510"/>
      <c r="O11" s="51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510"/>
    </row>
    <row r="12" customFormat="false" ht="14.25" hidden="false" customHeight="false" outlineLevel="0" collapsed="false">
      <c r="A12" s="510"/>
      <c r="B12" s="911"/>
      <c r="C12" s="918" t="s">
        <v>708</v>
      </c>
      <c r="D12" s="919" t="s">
        <v>423</v>
      </c>
      <c r="E12" s="1010"/>
      <c r="F12" s="1011" t="s">
        <v>709</v>
      </c>
      <c r="G12" s="920" t="s">
        <v>416</v>
      </c>
      <c r="H12" s="925"/>
      <c r="I12" s="510"/>
      <c r="J12" s="510"/>
      <c r="K12" s="510"/>
      <c r="L12" s="510"/>
      <c r="M12" s="510"/>
      <c r="N12" s="510"/>
      <c r="O12" s="510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510"/>
    </row>
    <row r="13" customFormat="false" ht="14.25" hidden="false" customHeight="false" outlineLevel="0" collapsed="false">
      <c r="A13" s="510"/>
      <c r="B13" s="911"/>
      <c r="C13" s="922"/>
      <c r="D13" s="1012"/>
      <c r="E13" s="1012"/>
      <c r="F13" s="923"/>
      <c r="G13" s="924"/>
      <c r="H13" s="925"/>
      <c r="I13" s="510"/>
      <c r="J13" s="510"/>
      <c r="K13" s="510"/>
      <c r="L13" s="510"/>
      <c r="M13" s="510"/>
      <c r="N13" s="510"/>
      <c r="O13" s="51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510"/>
    </row>
    <row r="14" customFormat="false" ht="14.25" hidden="false" customHeight="false" outlineLevel="0" collapsed="false">
      <c r="A14" s="510"/>
      <c r="B14" s="911"/>
      <c r="C14" s="926"/>
      <c r="D14" s="981"/>
      <c r="E14" s="981"/>
      <c r="F14" s="927"/>
      <c r="G14" s="928"/>
      <c r="H14" s="925"/>
      <c r="I14" s="510"/>
      <c r="J14" s="510"/>
      <c r="K14" s="510"/>
      <c r="L14" s="510"/>
      <c r="M14" s="510"/>
      <c r="N14" s="510"/>
      <c r="O14" s="51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510"/>
    </row>
    <row r="15" customFormat="false" ht="14.25" hidden="false" customHeight="false" outlineLevel="0" collapsed="false">
      <c r="A15" s="510"/>
      <c r="B15" s="911"/>
      <c r="C15" s="926"/>
      <c r="D15" s="1013"/>
      <c r="E15" s="1014"/>
      <c r="F15" s="927"/>
      <c r="G15" s="928"/>
      <c r="H15" s="925"/>
      <c r="I15" s="510"/>
      <c r="J15" s="510"/>
      <c r="K15" s="510"/>
      <c r="L15" s="510"/>
      <c r="M15" s="510"/>
      <c r="N15" s="510"/>
      <c r="O15" s="51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510"/>
    </row>
    <row r="16" customFormat="false" ht="14.25" hidden="false" customHeight="false" outlineLevel="0" collapsed="false">
      <c r="A16" s="510"/>
      <c r="B16" s="911"/>
      <c r="C16" s="926"/>
      <c r="D16" s="1013"/>
      <c r="E16" s="1014"/>
      <c r="F16" s="927"/>
      <c r="G16" s="928"/>
      <c r="H16" s="925"/>
      <c r="I16" s="510"/>
      <c r="J16" s="510"/>
      <c r="K16" s="510"/>
      <c r="L16" s="510"/>
      <c r="M16" s="510"/>
      <c r="N16" s="510"/>
      <c r="O16" s="51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510"/>
    </row>
    <row r="17" customFormat="false" ht="14.25" hidden="false" customHeight="false" outlineLevel="0" collapsed="false">
      <c r="A17" s="510"/>
      <c r="B17" s="911"/>
      <c r="C17" s="926"/>
      <c r="D17" s="981"/>
      <c r="E17" s="981"/>
      <c r="F17" s="927"/>
      <c r="G17" s="928"/>
      <c r="H17" s="925"/>
      <c r="I17" s="510"/>
      <c r="J17" s="510"/>
      <c r="K17" s="510"/>
      <c r="L17" s="510"/>
      <c r="M17" s="510"/>
      <c r="N17" s="510"/>
      <c r="O17" s="51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510"/>
    </row>
    <row r="18" customFormat="false" ht="14.25" hidden="false" customHeight="false" outlineLevel="0" collapsed="false">
      <c r="A18" s="510"/>
      <c r="B18" s="911"/>
      <c r="C18" s="926"/>
      <c r="D18" s="981"/>
      <c r="E18" s="981"/>
      <c r="F18" s="927"/>
      <c r="G18" s="928"/>
      <c r="H18" s="925"/>
      <c r="I18" s="510"/>
      <c r="J18" s="510"/>
      <c r="K18" s="510"/>
      <c r="L18" s="510"/>
      <c r="M18" s="510"/>
      <c r="N18" s="510"/>
      <c r="O18" s="510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510"/>
    </row>
    <row r="19" customFormat="false" ht="14.25" hidden="false" customHeight="false" outlineLevel="0" collapsed="false">
      <c r="A19" s="510"/>
      <c r="B19" s="911"/>
      <c r="C19" s="926"/>
      <c r="D19" s="981"/>
      <c r="E19" s="981"/>
      <c r="F19" s="927"/>
      <c r="G19" s="928"/>
      <c r="H19" s="925"/>
      <c r="I19" s="931"/>
      <c r="J19" s="931"/>
      <c r="K19" s="931"/>
      <c r="L19" s="931"/>
      <c r="M19" s="931"/>
      <c r="N19" s="931"/>
      <c r="O19" s="931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510"/>
    </row>
    <row r="20" customFormat="false" ht="14.25" hidden="false" customHeight="false" outlineLevel="0" collapsed="false">
      <c r="A20" s="510"/>
      <c r="B20" s="911"/>
      <c r="C20" s="926"/>
      <c r="D20" s="981"/>
      <c r="E20" s="981"/>
      <c r="F20" s="927"/>
      <c r="G20" s="928"/>
      <c r="H20" s="925"/>
      <c r="I20" s="510"/>
      <c r="J20" s="510"/>
      <c r="K20" s="510"/>
      <c r="L20" s="510"/>
      <c r="M20" s="510"/>
      <c r="N20" s="510"/>
      <c r="O20" s="510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510"/>
    </row>
    <row r="21" customFormat="false" ht="14.25" hidden="false" customHeight="false" outlineLevel="0" collapsed="false">
      <c r="A21" s="935"/>
      <c r="B21" s="911"/>
      <c r="C21" s="926"/>
      <c r="D21" s="981"/>
      <c r="E21" s="981"/>
      <c r="F21" s="927"/>
      <c r="G21" s="928"/>
      <c r="H21" s="925"/>
      <c r="I21" s="935"/>
      <c r="J21" s="935"/>
      <c r="K21" s="935"/>
      <c r="L21" s="935"/>
      <c r="M21" s="935"/>
      <c r="N21" s="935"/>
      <c r="O21" s="935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935"/>
    </row>
    <row r="22" customFormat="false" ht="14.25" hidden="false" customHeight="false" outlineLevel="0" collapsed="false">
      <c r="A22" s="510"/>
      <c r="B22" s="911"/>
      <c r="C22" s="926"/>
      <c r="D22" s="981"/>
      <c r="E22" s="981"/>
      <c r="F22" s="927"/>
      <c r="G22" s="928"/>
      <c r="H22" s="925"/>
      <c r="I22" s="510"/>
      <c r="J22" s="510"/>
      <c r="K22" s="510"/>
      <c r="L22" s="510"/>
      <c r="M22" s="510"/>
      <c r="N22" s="510"/>
      <c r="O22" s="510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510"/>
    </row>
    <row r="23" customFormat="false" ht="14.25" hidden="false" customHeight="false" outlineLevel="0" collapsed="false">
      <c r="A23" s="510"/>
      <c r="B23" s="911"/>
      <c r="C23" s="929"/>
      <c r="D23" s="1015"/>
      <c r="E23" s="1015"/>
      <c r="F23" s="930"/>
      <c r="G23" s="924"/>
      <c r="H23" s="925"/>
      <c r="I23" s="510"/>
      <c r="J23" s="510"/>
      <c r="K23" s="510"/>
      <c r="L23" s="510"/>
      <c r="M23" s="510"/>
      <c r="N23" s="510"/>
      <c r="O23" s="510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510"/>
    </row>
    <row r="24" customFormat="false" ht="14.25" hidden="false" customHeight="true" outlineLevel="0" collapsed="false">
      <c r="A24" s="510"/>
      <c r="B24" s="911"/>
      <c r="C24" s="932"/>
      <c r="D24" s="1006"/>
      <c r="E24" s="1006"/>
      <c r="F24" s="933" t="s">
        <v>672</v>
      </c>
      <c r="G24" s="934" t="n">
        <f aca="false">SUM(G13:G23)</f>
        <v>0</v>
      </c>
      <c r="H24" s="925"/>
      <c r="I24" s="510"/>
      <c r="J24" s="510"/>
      <c r="K24" s="510"/>
      <c r="L24" s="510"/>
      <c r="M24" s="510"/>
      <c r="N24" s="510"/>
      <c r="O24" s="510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510"/>
    </row>
    <row r="25" customFormat="false" ht="14.25" hidden="false" customHeight="false" outlineLevel="0" collapsed="false">
      <c r="A25" s="510"/>
      <c r="B25" s="911"/>
      <c r="C25" s="911"/>
      <c r="D25" s="911"/>
      <c r="E25" s="911"/>
      <c r="F25" s="954"/>
      <c r="G25" s="945"/>
      <c r="H25" s="925"/>
      <c r="I25" s="510"/>
      <c r="J25" s="510"/>
      <c r="K25" s="510"/>
      <c r="L25" s="510"/>
      <c r="M25" s="510"/>
      <c r="N25" s="510"/>
      <c r="O25" s="510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510"/>
    </row>
    <row r="26" customFormat="false" ht="14.25" hidden="false" customHeight="false" outlineLevel="0" collapsed="false">
      <c r="A26" s="510"/>
      <c r="B26" s="911"/>
      <c r="C26" s="911"/>
      <c r="D26" s="911"/>
      <c r="E26" s="911"/>
      <c r="F26" s="954"/>
      <c r="G26" s="945"/>
      <c r="H26" s="925"/>
      <c r="I26" s="510"/>
      <c r="J26" s="510"/>
      <c r="K26" s="510"/>
      <c r="L26" s="510"/>
      <c r="M26" s="510"/>
      <c r="N26" s="510"/>
      <c r="O26" s="510"/>
      <c r="P26" s="79" t="s">
        <v>174</v>
      </c>
      <c r="Q26" s="78"/>
      <c r="R26" s="78"/>
      <c r="S26" s="79" t="s">
        <v>83</v>
      </c>
      <c r="T26" s="79" t="s">
        <v>174</v>
      </c>
      <c r="U26" s="510"/>
    </row>
    <row r="27" customFormat="false" ht="14.25" hidden="false" customHeight="false" outlineLevel="0" collapsed="false">
      <c r="A27" s="510"/>
      <c r="B27" s="911"/>
      <c r="C27" s="911"/>
      <c r="D27" s="911"/>
      <c r="E27" s="911"/>
      <c r="F27" s="954"/>
      <c r="G27" s="945"/>
      <c r="H27" s="925"/>
      <c r="I27" s="510"/>
      <c r="J27" s="510"/>
      <c r="K27" s="510"/>
      <c r="L27" s="510"/>
      <c r="M27" s="510"/>
      <c r="N27" s="510"/>
      <c r="O27" s="510"/>
      <c r="P27" s="79" t="s">
        <v>177</v>
      </c>
      <c r="Q27" s="78"/>
      <c r="R27" s="78"/>
      <c r="S27" s="79" t="s">
        <v>85</v>
      </c>
      <c r="T27" s="79" t="s">
        <v>76</v>
      </c>
      <c r="U27" s="510"/>
    </row>
    <row r="28" customFormat="false" ht="14.25" hidden="false" customHeight="false" outlineLevel="0" collapsed="false">
      <c r="A28" s="510"/>
      <c r="B28" s="911"/>
      <c r="C28" s="911"/>
      <c r="D28" s="911"/>
      <c r="E28" s="911"/>
      <c r="F28" s="954"/>
      <c r="G28" s="945"/>
      <c r="H28" s="925"/>
      <c r="I28" s="931"/>
      <c r="J28" s="931"/>
      <c r="K28" s="931"/>
      <c r="L28" s="931"/>
      <c r="M28" s="931"/>
      <c r="N28" s="931"/>
      <c r="O28" s="931"/>
      <c r="P28" s="79" t="s">
        <v>178</v>
      </c>
      <c r="Q28" s="78"/>
      <c r="R28" s="78"/>
      <c r="S28" s="79" t="s">
        <v>86</v>
      </c>
      <c r="T28" s="79" t="s">
        <v>78</v>
      </c>
      <c r="U28" s="510"/>
    </row>
    <row r="29" customFormat="false" ht="14.25" hidden="false" customHeight="false" outlineLevel="0" collapsed="false">
      <c r="A29" s="510"/>
      <c r="B29" s="911"/>
      <c r="C29" s="911"/>
      <c r="D29" s="911"/>
      <c r="E29" s="911"/>
      <c r="F29" s="954"/>
      <c r="G29" s="945"/>
      <c r="H29" s="925"/>
      <c r="I29" s="510"/>
      <c r="J29" s="510"/>
      <c r="K29" s="510"/>
      <c r="L29" s="510"/>
      <c r="M29" s="510"/>
      <c r="N29" s="510"/>
      <c r="O29" s="510"/>
      <c r="P29" s="79" t="s">
        <v>179</v>
      </c>
      <c r="Q29" s="78"/>
      <c r="R29" s="78"/>
      <c r="S29" s="79" t="s">
        <v>87</v>
      </c>
      <c r="T29" s="79" t="s">
        <v>79</v>
      </c>
      <c r="U29" s="510"/>
    </row>
    <row r="30" customFormat="false" ht="14.25" hidden="false" customHeight="false" outlineLevel="0" collapsed="false">
      <c r="A30" s="510"/>
      <c r="B30" s="911"/>
      <c r="C30" s="911"/>
      <c r="D30" s="911"/>
      <c r="E30" s="911"/>
      <c r="F30" s="954"/>
      <c r="G30" s="945"/>
      <c r="H30" s="925"/>
      <c r="I30" s="510"/>
      <c r="J30" s="510"/>
      <c r="K30" s="510"/>
      <c r="L30" s="510"/>
      <c r="M30" s="510"/>
      <c r="N30" s="510"/>
      <c r="O30" s="510"/>
      <c r="P30" s="79" t="s">
        <v>180</v>
      </c>
      <c r="Q30" s="78"/>
      <c r="R30" s="78"/>
      <c r="S30" s="79" t="s">
        <v>91</v>
      </c>
      <c r="T30" s="79" t="s">
        <v>81</v>
      </c>
      <c r="U30" s="510"/>
    </row>
    <row r="31" customFormat="false" ht="14.25" hidden="false" customHeight="true" outlineLevel="0" collapsed="false">
      <c r="A31" s="510"/>
      <c r="B31" s="937"/>
      <c r="C31" s="1016" t="s">
        <v>710</v>
      </c>
      <c r="D31" s="1016"/>
      <c r="E31" s="1016"/>
      <c r="F31" s="1016"/>
      <c r="G31" s="1016"/>
      <c r="H31" s="937"/>
      <c r="I31" s="510"/>
      <c r="J31" s="510"/>
      <c r="K31" s="510"/>
      <c r="L31" s="510"/>
      <c r="M31" s="510"/>
      <c r="N31" s="510"/>
      <c r="O31" s="510"/>
      <c r="P31" s="79" t="s">
        <v>181</v>
      </c>
      <c r="Q31" s="78"/>
      <c r="R31" s="78"/>
      <c r="S31" s="78"/>
      <c r="T31" s="79" t="s">
        <v>83</v>
      </c>
      <c r="U31" s="510"/>
    </row>
    <row r="32" customFormat="false" ht="14.25" hidden="false" customHeight="false" outlineLevel="0" collapsed="false">
      <c r="A32" s="510"/>
      <c r="B32" s="911"/>
      <c r="C32" s="1016"/>
      <c r="D32" s="1016"/>
      <c r="E32" s="1016"/>
      <c r="F32" s="1016"/>
      <c r="G32" s="1016"/>
      <c r="H32" s="925"/>
      <c r="I32" s="510"/>
      <c r="J32" s="510"/>
      <c r="K32" s="510"/>
      <c r="L32" s="510"/>
      <c r="M32" s="510"/>
      <c r="N32" s="510"/>
      <c r="O32" s="510"/>
      <c r="P32" s="79" t="s">
        <v>76</v>
      </c>
      <c r="Q32" s="78"/>
      <c r="R32" s="78"/>
      <c r="S32" s="78"/>
      <c r="T32" s="79" t="s">
        <v>85</v>
      </c>
      <c r="U32" s="510"/>
    </row>
    <row r="33" customFormat="false" ht="15" hidden="false" customHeight="false" outlineLevel="0" collapsed="false">
      <c r="A33" s="510"/>
      <c r="B33" s="911"/>
      <c r="C33" s="1017"/>
      <c r="D33" s="1018"/>
      <c r="E33" s="1018"/>
      <c r="F33" s="1018"/>
      <c r="G33" s="1019"/>
      <c r="H33" s="925"/>
      <c r="I33" s="510"/>
      <c r="J33" s="510"/>
      <c r="K33" s="510"/>
      <c r="L33" s="510"/>
      <c r="M33" s="510"/>
      <c r="N33" s="510"/>
      <c r="O33" s="510"/>
      <c r="P33" s="79" t="s">
        <v>78</v>
      </c>
      <c r="Q33" s="78"/>
      <c r="R33" s="78"/>
      <c r="S33" s="78"/>
      <c r="T33" s="79" t="s">
        <v>86</v>
      </c>
      <c r="U33" s="510"/>
    </row>
    <row r="34" customFormat="false" ht="14.25" hidden="false" customHeight="false" outlineLevel="0" collapsed="false">
      <c r="A34" s="510"/>
      <c r="B34" s="911"/>
      <c r="C34" s="1020" t="s">
        <v>711</v>
      </c>
      <c r="D34" s="1021" t="s">
        <v>423</v>
      </c>
      <c r="E34" s="1022" t="s">
        <v>588</v>
      </c>
      <c r="F34" s="1023" t="s">
        <v>589</v>
      </c>
      <c r="G34" s="1024" t="s">
        <v>416</v>
      </c>
      <c r="H34" s="925"/>
      <c r="I34" s="510"/>
      <c r="J34" s="510"/>
      <c r="K34" s="510"/>
      <c r="L34" s="510"/>
      <c r="M34" s="510"/>
      <c r="N34" s="510"/>
      <c r="O34" s="510"/>
      <c r="P34" s="79" t="s">
        <v>79</v>
      </c>
      <c r="Q34" s="78"/>
      <c r="R34" s="78"/>
      <c r="S34" s="78"/>
      <c r="T34" s="79" t="s">
        <v>87</v>
      </c>
      <c r="U34" s="510"/>
    </row>
    <row r="35" customFormat="false" ht="14.25" hidden="false" customHeight="false" outlineLevel="0" collapsed="false">
      <c r="A35" s="510"/>
      <c r="B35" s="911"/>
      <c r="C35" s="922"/>
      <c r="D35" s="1025"/>
      <c r="E35" s="1026"/>
      <c r="F35" s="1027"/>
      <c r="G35" s="924"/>
      <c r="H35" s="925"/>
      <c r="I35" s="510"/>
      <c r="J35" s="510"/>
      <c r="K35" s="510"/>
      <c r="L35" s="510"/>
      <c r="M35" s="510"/>
      <c r="N35" s="510"/>
      <c r="O35" s="510"/>
      <c r="P35" s="79" t="s">
        <v>81</v>
      </c>
      <c r="Q35" s="78"/>
      <c r="R35" s="78"/>
      <c r="S35" s="78"/>
      <c r="T35" s="79" t="s">
        <v>89</v>
      </c>
      <c r="U35" s="510"/>
    </row>
    <row r="36" customFormat="false" ht="14.25" hidden="false" customHeight="false" outlineLevel="0" collapsed="false">
      <c r="A36" s="510"/>
      <c r="B36" s="911"/>
      <c r="C36" s="922"/>
      <c r="D36" s="1025"/>
      <c r="E36" s="1026"/>
      <c r="F36" s="1028"/>
      <c r="G36" s="928"/>
      <c r="H36" s="925"/>
      <c r="I36" s="510"/>
      <c r="J36" s="510"/>
      <c r="K36" s="510"/>
      <c r="L36" s="510"/>
      <c r="M36" s="510"/>
      <c r="N36" s="510"/>
      <c r="O36" s="510"/>
      <c r="P36" s="79" t="s">
        <v>83</v>
      </c>
      <c r="Q36" s="78"/>
      <c r="R36" s="78"/>
      <c r="S36" s="78"/>
      <c r="T36" s="79" t="s">
        <v>90</v>
      </c>
      <c r="U36" s="510"/>
    </row>
    <row r="37" customFormat="false" ht="14.25" hidden="false" customHeight="false" outlineLevel="0" collapsed="false">
      <c r="A37" s="510"/>
      <c r="B37" s="911"/>
      <c r="C37" s="922" t="s">
        <v>712</v>
      </c>
      <c r="D37" s="1025" t="s">
        <v>713</v>
      </c>
      <c r="E37" s="1026" t="s">
        <v>714</v>
      </c>
      <c r="F37" s="1028" t="n">
        <v>207025</v>
      </c>
      <c r="G37" s="928" t="n">
        <v>410</v>
      </c>
      <c r="H37" s="925"/>
      <c r="I37" s="510"/>
      <c r="J37" s="510"/>
      <c r="K37" s="510"/>
      <c r="L37" s="510"/>
      <c r="M37" s="510"/>
      <c r="N37" s="510"/>
      <c r="O37" s="510"/>
      <c r="P37" s="79" t="s">
        <v>85</v>
      </c>
      <c r="Q37" s="78"/>
      <c r="R37" s="78"/>
      <c r="S37" s="78"/>
      <c r="T37" s="79" t="s">
        <v>192</v>
      </c>
      <c r="U37" s="510"/>
    </row>
    <row r="38" customFormat="false" ht="14.25" hidden="false" customHeight="false" outlineLevel="0" collapsed="false">
      <c r="A38" s="510"/>
      <c r="B38" s="911"/>
      <c r="C38" s="922" t="s">
        <v>715</v>
      </c>
      <c r="D38" s="1025" t="s">
        <v>716</v>
      </c>
      <c r="E38" s="1026" t="s">
        <v>717</v>
      </c>
      <c r="F38" s="1028" t="n">
        <v>45676</v>
      </c>
      <c r="G38" s="928" t="n">
        <v>210</v>
      </c>
      <c r="H38" s="925"/>
      <c r="I38" s="510"/>
      <c r="J38" s="510"/>
      <c r="K38" s="510"/>
      <c r="L38" s="510"/>
      <c r="M38" s="510"/>
      <c r="N38" s="510"/>
      <c r="O38" s="510"/>
      <c r="P38" s="79" t="s">
        <v>86</v>
      </c>
      <c r="Q38" s="78"/>
      <c r="R38" s="78"/>
      <c r="S38" s="78"/>
      <c r="T38" s="79" t="s">
        <v>91</v>
      </c>
      <c r="U38" s="510"/>
    </row>
    <row r="39" customFormat="false" ht="14.25" hidden="false" customHeight="false" outlineLevel="0" collapsed="false">
      <c r="A39" s="510"/>
      <c r="B39" s="911"/>
      <c r="C39" s="922" t="s">
        <v>718</v>
      </c>
      <c r="D39" s="1025" t="s">
        <v>719</v>
      </c>
      <c r="E39" s="1026" t="s">
        <v>720</v>
      </c>
      <c r="F39" s="1028" t="n">
        <v>45697</v>
      </c>
      <c r="G39" s="928" t="n">
        <v>80</v>
      </c>
      <c r="H39" s="925"/>
      <c r="I39" s="510"/>
      <c r="J39" s="510"/>
      <c r="K39" s="510"/>
      <c r="L39" s="510"/>
      <c r="M39" s="510"/>
      <c r="N39" s="510"/>
      <c r="O39" s="510"/>
      <c r="P39" s="79" t="s">
        <v>87</v>
      </c>
      <c r="Q39" s="78"/>
      <c r="R39" s="78"/>
      <c r="S39" s="78"/>
      <c r="T39" s="79"/>
      <c r="U39" s="510"/>
    </row>
    <row r="40" customFormat="false" ht="14.25" hidden="false" customHeight="false" outlineLevel="0" collapsed="false">
      <c r="A40" s="510"/>
      <c r="B40" s="911"/>
      <c r="C40" s="922" t="s">
        <v>721</v>
      </c>
      <c r="D40" s="1025" t="s">
        <v>722</v>
      </c>
      <c r="E40" s="1026" t="s">
        <v>723</v>
      </c>
      <c r="F40" s="1028" t="n">
        <v>45700</v>
      </c>
      <c r="G40" s="928" t="n">
        <v>80</v>
      </c>
      <c r="H40" s="925"/>
      <c r="I40" s="510"/>
      <c r="J40" s="510"/>
      <c r="K40" s="510"/>
      <c r="L40" s="510"/>
      <c r="M40" s="510"/>
      <c r="N40" s="510"/>
      <c r="O40" s="510"/>
      <c r="P40" s="79" t="s">
        <v>89</v>
      </c>
      <c r="Q40" s="78"/>
      <c r="R40" s="78"/>
      <c r="S40" s="78"/>
      <c r="T40" s="78"/>
      <c r="U40" s="510"/>
    </row>
    <row r="41" customFormat="false" ht="14.25" hidden="false" customHeight="false" outlineLevel="0" collapsed="false">
      <c r="A41" s="510"/>
      <c r="B41" s="911"/>
      <c r="C41" s="922" t="s">
        <v>724</v>
      </c>
      <c r="D41" s="1025" t="s">
        <v>725</v>
      </c>
      <c r="E41" s="1026" t="s">
        <v>726</v>
      </c>
      <c r="F41" s="1028" t="n">
        <v>45700</v>
      </c>
      <c r="G41" s="928" t="n">
        <v>1260</v>
      </c>
      <c r="H41" s="925"/>
      <c r="I41" s="510"/>
      <c r="J41" s="510"/>
      <c r="K41" s="510"/>
      <c r="L41" s="510"/>
      <c r="M41" s="510"/>
      <c r="N41" s="510"/>
      <c r="O41" s="510"/>
      <c r="P41" s="79" t="s">
        <v>90</v>
      </c>
      <c r="Q41" s="78"/>
      <c r="R41" s="78"/>
      <c r="S41" s="78"/>
      <c r="T41" s="117"/>
      <c r="U41" s="510"/>
    </row>
    <row r="42" customFormat="false" ht="14.25" hidden="false" customHeight="false" outlineLevel="0" collapsed="false">
      <c r="A42" s="510"/>
      <c r="B42" s="911"/>
      <c r="C42" s="922" t="s">
        <v>724</v>
      </c>
      <c r="D42" s="1025" t="s">
        <v>727</v>
      </c>
      <c r="E42" s="1026" t="s">
        <v>728</v>
      </c>
      <c r="F42" s="1028"/>
      <c r="G42" s="928" t="n">
        <v>964.63</v>
      </c>
      <c r="H42" s="925"/>
      <c r="I42" s="510"/>
      <c r="J42" s="510"/>
      <c r="K42" s="510"/>
      <c r="L42" s="510"/>
      <c r="M42" s="510"/>
      <c r="N42" s="510"/>
      <c r="O42" s="510"/>
      <c r="P42" s="79" t="s">
        <v>192</v>
      </c>
      <c r="Q42" s="78"/>
      <c r="R42" s="78"/>
      <c r="S42" s="78"/>
      <c r="T42" s="78"/>
      <c r="U42" s="510"/>
    </row>
    <row r="43" customFormat="false" ht="14.25" hidden="false" customHeight="false" outlineLevel="0" collapsed="false">
      <c r="A43" s="510"/>
      <c r="B43" s="911"/>
      <c r="C43" s="922" t="s">
        <v>729</v>
      </c>
      <c r="D43" s="1025" t="s">
        <v>730</v>
      </c>
      <c r="E43" s="1026" t="n">
        <v>2127</v>
      </c>
      <c r="F43" s="1028" t="n">
        <v>45671</v>
      </c>
      <c r="G43" s="928" t="n">
        <v>40</v>
      </c>
      <c r="H43" s="925"/>
      <c r="I43" s="510"/>
      <c r="J43" s="510"/>
      <c r="K43" s="510"/>
      <c r="L43" s="510"/>
      <c r="M43" s="510"/>
      <c r="N43" s="510"/>
      <c r="O43" s="510"/>
      <c r="P43" s="79" t="s">
        <v>91</v>
      </c>
      <c r="Q43" s="78"/>
      <c r="R43" s="78"/>
      <c r="S43" s="78"/>
      <c r="T43" s="78"/>
      <c r="U43" s="510"/>
    </row>
    <row r="44" customFormat="false" ht="14.25" hidden="false" customHeight="false" outlineLevel="0" collapsed="false">
      <c r="A44" s="510"/>
      <c r="B44" s="911"/>
      <c r="C44" s="922" t="s">
        <v>731</v>
      </c>
      <c r="D44" s="1025" t="s">
        <v>732</v>
      </c>
      <c r="E44" s="1026" t="s">
        <v>733</v>
      </c>
      <c r="F44" s="1028" t="n">
        <v>45731</v>
      </c>
      <c r="G44" s="928" t="n">
        <v>40</v>
      </c>
      <c r="H44" s="925"/>
      <c r="I44" s="510"/>
      <c r="J44" s="510"/>
      <c r="K44" s="510"/>
      <c r="L44" s="510"/>
      <c r="M44" s="510"/>
      <c r="N44" s="510"/>
      <c r="O44" s="510"/>
      <c r="P44" s="78"/>
      <c r="Q44" s="78"/>
      <c r="R44" s="78"/>
      <c r="S44" s="78"/>
      <c r="T44" s="78"/>
      <c r="U44" s="510"/>
    </row>
    <row r="45" customFormat="false" ht="14.25" hidden="false" customHeight="false" outlineLevel="0" collapsed="false">
      <c r="A45" s="510"/>
      <c r="B45" s="911"/>
      <c r="C45" s="922" t="s">
        <v>734</v>
      </c>
      <c r="D45" s="1025" t="s">
        <v>735</v>
      </c>
      <c r="E45" s="1026" t="s">
        <v>736</v>
      </c>
      <c r="F45" s="1028" t="n">
        <v>45721</v>
      </c>
      <c r="G45" s="928" t="n">
        <v>270</v>
      </c>
      <c r="H45" s="925"/>
      <c r="I45" s="510"/>
      <c r="J45" s="510"/>
      <c r="K45" s="510"/>
      <c r="L45" s="510"/>
      <c r="M45" s="510"/>
      <c r="N45" s="510"/>
      <c r="O45" s="510"/>
      <c r="P45" s="78"/>
      <c r="Q45" s="78"/>
      <c r="R45" s="78"/>
      <c r="S45" s="78"/>
      <c r="T45" s="78"/>
      <c r="U45" s="510"/>
    </row>
    <row r="46" customFormat="false" ht="14.25" hidden="false" customHeight="false" outlineLevel="0" collapsed="false">
      <c r="A46" s="510"/>
      <c r="B46" s="911"/>
      <c r="C46" s="922" t="s">
        <v>737</v>
      </c>
      <c r="D46" s="1025" t="s">
        <v>738</v>
      </c>
      <c r="E46" s="1026" t="s">
        <v>739</v>
      </c>
      <c r="F46" s="1028" t="n">
        <v>45761</v>
      </c>
      <c r="G46" s="928" t="n">
        <v>90</v>
      </c>
      <c r="H46" s="925"/>
      <c r="I46" s="510"/>
      <c r="J46" s="510"/>
      <c r="K46" s="510"/>
      <c r="L46" s="510"/>
      <c r="M46" s="510"/>
      <c r="N46" s="510"/>
      <c r="O46" s="510"/>
      <c r="Q46" s="78"/>
      <c r="R46" s="78"/>
      <c r="S46" s="78"/>
      <c r="T46" s="78"/>
      <c r="U46" s="510"/>
    </row>
    <row r="47" customFormat="false" ht="14.25" hidden="false" customHeight="false" outlineLevel="0" collapsed="false">
      <c r="A47" s="510"/>
      <c r="B47" s="911"/>
      <c r="C47" s="922" t="s">
        <v>740</v>
      </c>
      <c r="D47" s="1025" t="s">
        <v>741</v>
      </c>
      <c r="E47" s="1026" t="s">
        <v>742</v>
      </c>
      <c r="F47" s="1028" t="n">
        <v>45764</v>
      </c>
      <c r="G47" s="928" t="n">
        <v>210</v>
      </c>
      <c r="H47" s="925"/>
      <c r="I47" s="510"/>
      <c r="J47" s="510"/>
      <c r="K47" s="510"/>
      <c r="L47" s="510"/>
      <c r="M47" s="510"/>
      <c r="N47" s="510"/>
      <c r="O47" s="510"/>
      <c r="Q47" s="78"/>
      <c r="R47" s="78"/>
      <c r="S47" s="78"/>
      <c r="T47" s="78"/>
      <c r="U47" s="510"/>
    </row>
    <row r="48" customFormat="false" ht="14.25" hidden="false" customHeight="false" outlineLevel="0" collapsed="false">
      <c r="A48" s="510"/>
      <c r="B48" s="911"/>
      <c r="C48" s="922" t="s">
        <v>743</v>
      </c>
      <c r="D48" s="1025" t="s">
        <v>744</v>
      </c>
      <c r="E48" s="1026" t="s">
        <v>745</v>
      </c>
      <c r="F48" s="1028" t="n">
        <v>45766</v>
      </c>
      <c r="G48" s="928" t="n">
        <v>120</v>
      </c>
      <c r="H48" s="925"/>
      <c r="I48" s="510"/>
      <c r="J48" s="510"/>
      <c r="K48" s="510"/>
      <c r="L48" s="510"/>
      <c r="M48" s="510"/>
      <c r="N48" s="510"/>
      <c r="O48" s="510"/>
      <c r="S48" s="78"/>
      <c r="U48" s="510"/>
    </row>
    <row r="49" customFormat="false" ht="14.25" hidden="false" customHeight="false" outlineLevel="0" collapsed="false">
      <c r="A49" s="510"/>
      <c r="B49" s="911"/>
      <c r="C49" s="922" t="s">
        <v>746</v>
      </c>
      <c r="D49" s="1025" t="s">
        <v>747</v>
      </c>
      <c r="E49" s="1026" t="s">
        <v>748</v>
      </c>
      <c r="F49" s="1028" t="n">
        <v>45771</v>
      </c>
      <c r="G49" s="928" t="n">
        <v>150</v>
      </c>
      <c r="H49" s="925"/>
      <c r="I49" s="510"/>
      <c r="J49" s="510"/>
      <c r="K49" s="510"/>
      <c r="L49" s="510"/>
      <c r="M49" s="510"/>
      <c r="N49" s="510"/>
      <c r="O49" s="510"/>
      <c r="S49" s="78"/>
      <c r="U49" s="510"/>
    </row>
    <row r="50" customFormat="false" ht="14.25" hidden="false" customHeight="false" outlineLevel="0" collapsed="false">
      <c r="A50" s="510"/>
      <c r="B50" s="911"/>
      <c r="C50" s="922" t="s">
        <v>749</v>
      </c>
      <c r="D50" s="1025" t="s">
        <v>750</v>
      </c>
      <c r="E50" s="1026" t="s">
        <v>751</v>
      </c>
      <c r="F50" s="1028" t="n">
        <v>45779</v>
      </c>
      <c r="G50" s="928" t="n">
        <v>50</v>
      </c>
      <c r="H50" s="925"/>
      <c r="I50" s="510"/>
      <c r="J50" s="510"/>
      <c r="K50" s="510"/>
      <c r="L50" s="510"/>
      <c r="M50" s="510"/>
      <c r="N50" s="510"/>
      <c r="O50" s="510"/>
      <c r="U50" s="510"/>
    </row>
    <row r="51" customFormat="false" ht="14.25" hidden="false" customHeight="false" outlineLevel="0" collapsed="false">
      <c r="A51" s="510"/>
      <c r="B51" s="911"/>
      <c r="C51" s="922" t="s">
        <v>752</v>
      </c>
      <c r="D51" s="1025" t="s">
        <v>753</v>
      </c>
      <c r="E51" s="1026" t="s">
        <v>754</v>
      </c>
      <c r="F51" s="1028" t="n">
        <v>45783</v>
      </c>
      <c r="G51" s="928" t="n">
        <v>130</v>
      </c>
      <c r="H51" s="925"/>
      <c r="I51" s="510"/>
      <c r="J51" s="510"/>
      <c r="K51" s="510"/>
      <c r="L51" s="510"/>
      <c r="M51" s="510"/>
      <c r="N51" s="510"/>
      <c r="O51" s="510"/>
      <c r="U51" s="510"/>
    </row>
    <row r="52" customFormat="false" ht="14.25" hidden="false" customHeight="false" outlineLevel="0" collapsed="false">
      <c r="A52" s="510"/>
      <c r="B52" s="911"/>
      <c r="C52" s="922" t="s">
        <v>755</v>
      </c>
      <c r="D52" s="1025" t="s">
        <v>756</v>
      </c>
      <c r="E52" s="1026" t="s">
        <v>757</v>
      </c>
      <c r="F52" s="1028" t="n">
        <v>45801</v>
      </c>
      <c r="G52" s="928" t="n">
        <v>40</v>
      </c>
      <c r="H52" s="925"/>
      <c r="I52" s="510"/>
      <c r="J52" s="510"/>
      <c r="K52" s="510"/>
      <c r="L52" s="510"/>
      <c r="M52" s="510"/>
      <c r="N52" s="510"/>
      <c r="O52" s="510"/>
      <c r="U52" s="510"/>
    </row>
    <row r="53" customFormat="false" ht="14.25" hidden="false" customHeight="false" outlineLevel="0" collapsed="false">
      <c r="A53" s="510"/>
      <c r="B53" s="911"/>
      <c r="C53" s="922" t="s">
        <v>758</v>
      </c>
      <c r="D53" s="1025" t="s">
        <v>759</v>
      </c>
      <c r="E53" s="1026" t="s">
        <v>760</v>
      </c>
      <c r="F53" s="1028" t="n">
        <v>45805</v>
      </c>
      <c r="G53" s="928" t="n">
        <v>20</v>
      </c>
      <c r="H53" s="925"/>
      <c r="I53" s="510"/>
      <c r="J53" s="510"/>
      <c r="K53" s="510"/>
      <c r="L53" s="510"/>
      <c r="M53" s="510"/>
      <c r="N53" s="510"/>
      <c r="O53" s="510"/>
      <c r="U53" s="510"/>
    </row>
    <row r="54" customFormat="false" ht="14.25" hidden="false" customHeight="false" outlineLevel="0" collapsed="false">
      <c r="A54" s="510"/>
      <c r="B54" s="911"/>
      <c r="C54" s="922" t="s">
        <v>740</v>
      </c>
      <c r="D54" s="1025" t="s">
        <v>761</v>
      </c>
      <c r="E54" s="1026" t="s">
        <v>762</v>
      </c>
      <c r="F54" s="1028" t="n">
        <v>45829</v>
      </c>
      <c r="G54" s="928" t="n">
        <v>110</v>
      </c>
      <c r="H54" s="925"/>
      <c r="I54" s="510"/>
      <c r="J54" s="510"/>
      <c r="K54" s="510"/>
      <c r="L54" s="510"/>
      <c r="M54" s="510"/>
      <c r="N54" s="510"/>
      <c r="O54" s="510"/>
      <c r="U54" s="510"/>
    </row>
    <row r="55" customFormat="false" ht="14.25" hidden="false" customHeight="false" outlineLevel="0" collapsed="false">
      <c r="A55" s="510"/>
      <c r="B55" s="911"/>
      <c r="C55" s="922" t="s">
        <v>737</v>
      </c>
      <c r="D55" s="1025" t="s">
        <v>763</v>
      </c>
      <c r="E55" s="1026" t="s">
        <v>764</v>
      </c>
      <c r="F55" s="1028" t="n">
        <v>45839</v>
      </c>
      <c r="G55" s="928" t="n">
        <v>470</v>
      </c>
      <c r="H55" s="925"/>
      <c r="I55" s="510"/>
      <c r="J55" s="510"/>
      <c r="K55" s="510"/>
      <c r="L55" s="510"/>
      <c r="M55" s="510"/>
      <c r="N55" s="510"/>
      <c r="O55" s="510"/>
      <c r="U55" s="510"/>
    </row>
    <row r="56" customFormat="false" ht="14.25" hidden="false" customHeight="false" outlineLevel="0" collapsed="false">
      <c r="A56" s="510"/>
      <c r="B56" s="911"/>
      <c r="C56" s="922" t="s">
        <v>755</v>
      </c>
      <c r="D56" s="1025" t="s">
        <v>765</v>
      </c>
      <c r="E56" s="1026" t="s">
        <v>766</v>
      </c>
      <c r="F56" s="1028" t="n">
        <v>45854</v>
      </c>
      <c r="G56" s="928" t="n">
        <v>170</v>
      </c>
      <c r="H56" s="925"/>
      <c r="I56" s="510"/>
      <c r="J56" s="510"/>
      <c r="K56" s="510"/>
      <c r="L56" s="510"/>
      <c r="M56" s="510"/>
      <c r="N56" s="510"/>
      <c r="O56" s="510"/>
      <c r="U56" s="510"/>
    </row>
    <row r="57" customFormat="false" ht="14.25" hidden="false" customHeight="false" outlineLevel="0" collapsed="false">
      <c r="A57" s="510"/>
      <c r="B57" s="911"/>
      <c r="C57" s="922" t="s">
        <v>767</v>
      </c>
      <c r="D57" s="1025" t="s">
        <v>768</v>
      </c>
      <c r="E57" s="1026" t="s">
        <v>769</v>
      </c>
      <c r="F57" s="1028" t="n">
        <v>45853</v>
      </c>
      <c r="G57" s="928" t="n">
        <v>70</v>
      </c>
      <c r="H57" s="925"/>
      <c r="I57" s="510"/>
      <c r="J57" s="510"/>
      <c r="K57" s="510"/>
      <c r="L57" s="510"/>
      <c r="M57" s="510"/>
      <c r="N57" s="510"/>
      <c r="O57" s="510"/>
      <c r="U57" s="510"/>
    </row>
    <row r="58" customFormat="false" ht="14.25" hidden="false" customHeight="false" outlineLevel="0" collapsed="false">
      <c r="A58" s="510"/>
      <c r="B58" s="911"/>
      <c r="C58" s="922" t="s">
        <v>767</v>
      </c>
      <c r="D58" s="1025" t="s">
        <v>768</v>
      </c>
      <c r="E58" s="1026" t="s">
        <v>770</v>
      </c>
      <c r="F58" s="1028" t="n">
        <v>45859</v>
      </c>
      <c r="G58" s="928" t="n">
        <v>10</v>
      </c>
      <c r="H58" s="925"/>
      <c r="I58" s="510"/>
      <c r="J58" s="510"/>
      <c r="K58" s="510"/>
      <c r="L58" s="510"/>
      <c r="M58" s="510"/>
      <c r="N58" s="510"/>
      <c r="O58" s="510"/>
      <c r="U58" s="510"/>
    </row>
    <row r="59" customFormat="false" ht="14.25" hidden="false" customHeight="false" outlineLevel="0" collapsed="false">
      <c r="A59" s="510"/>
      <c r="B59" s="911"/>
      <c r="C59" s="922" t="s">
        <v>771</v>
      </c>
      <c r="D59" s="1025" t="s">
        <v>772</v>
      </c>
      <c r="E59" s="1026" t="s">
        <v>773</v>
      </c>
      <c r="F59" s="1028" t="n">
        <v>45833</v>
      </c>
      <c r="G59" s="924" t="n">
        <v>470</v>
      </c>
      <c r="H59" s="925"/>
      <c r="I59" s="510"/>
      <c r="J59" s="510"/>
      <c r="K59" s="510"/>
      <c r="L59" s="510"/>
      <c r="M59" s="510"/>
      <c r="N59" s="510"/>
      <c r="O59" s="510"/>
      <c r="U59" s="510"/>
    </row>
    <row r="60" customFormat="false" ht="14.25" hidden="false" customHeight="false" outlineLevel="0" collapsed="false">
      <c r="A60" s="510"/>
      <c r="B60" s="911"/>
      <c r="C60" s="926" t="s">
        <v>755</v>
      </c>
      <c r="D60" s="981" t="s">
        <v>774</v>
      </c>
      <c r="E60" s="1029" t="s">
        <v>775</v>
      </c>
      <c r="F60" s="1030" t="n">
        <v>45894</v>
      </c>
      <c r="G60" s="928" t="n">
        <v>20</v>
      </c>
      <c r="H60" s="925"/>
      <c r="I60" s="510"/>
      <c r="J60" s="510"/>
      <c r="K60" s="510"/>
      <c r="L60" s="510"/>
      <c r="M60" s="510"/>
      <c r="N60" s="510"/>
      <c r="O60" s="510"/>
      <c r="U60" s="510"/>
    </row>
    <row r="61" customFormat="false" ht="14.25" hidden="false" customHeight="false" outlineLevel="0" collapsed="false">
      <c r="A61" s="510"/>
      <c r="B61" s="911"/>
      <c r="C61" s="926" t="s">
        <v>758</v>
      </c>
      <c r="D61" s="981" t="s">
        <v>776</v>
      </c>
      <c r="E61" s="1029" t="s">
        <v>777</v>
      </c>
      <c r="F61" s="1030" t="n">
        <v>45912</v>
      </c>
      <c r="G61" s="928" t="n">
        <v>40</v>
      </c>
      <c r="H61" s="925"/>
      <c r="I61" s="510"/>
      <c r="J61" s="510"/>
      <c r="K61" s="510"/>
      <c r="L61" s="510"/>
      <c r="M61" s="510"/>
      <c r="N61" s="510"/>
      <c r="O61" s="510"/>
      <c r="U61" s="510"/>
    </row>
    <row r="62" customFormat="false" ht="14.25" hidden="false" customHeight="false" outlineLevel="0" collapsed="false">
      <c r="B62" s="911"/>
      <c r="C62" s="926" t="s">
        <v>778</v>
      </c>
      <c r="D62" s="981" t="s">
        <v>779</v>
      </c>
      <c r="E62" s="1029" t="s">
        <v>780</v>
      </c>
      <c r="F62" s="1030" t="n">
        <v>45921</v>
      </c>
      <c r="G62" s="928" t="n">
        <v>520</v>
      </c>
      <c r="H62" s="925"/>
    </row>
    <row r="63" customFormat="false" ht="14.25" hidden="false" customHeight="false" outlineLevel="0" collapsed="false">
      <c r="B63" s="911"/>
      <c r="C63" s="926" t="s">
        <v>150</v>
      </c>
      <c r="D63" s="981" t="s">
        <v>781</v>
      </c>
      <c r="E63" s="1029" t="s">
        <v>782</v>
      </c>
      <c r="F63" s="1030" t="n">
        <v>45853</v>
      </c>
      <c r="G63" s="928" t="n">
        <v>280.4</v>
      </c>
      <c r="H63" s="925"/>
    </row>
    <row r="64" customFormat="false" ht="14.25" hidden="false" customHeight="false" outlineLevel="0" collapsed="false">
      <c r="B64" s="911"/>
      <c r="C64" s="926" t="s">
        <v>731</v>
      </c>
      <c r="D64" s="981" t="s">
        <v>783</v>
      </c>
      <c r="E64" s="1029" t="s">
        <v>784</v>
      </c>
      <c r="F64" s="1030" t="n">
        <v>45925</v>
      </c>
      <c r="G64" s="928" t="n">
        <v>310</v>
      </c>
      <c r="H64" s="925"/>
    </row>
    <row r="65" customFormat="false" ht="14.25" hidden="false" customHeight="false" outlineLevel="0" collapsed="false">
      <c r="B65" s="911"/>
      <c r="C65" s="929" t="s">
        <v>785</v>
      </c>
      <c r="D65" s="1015" t="s">
        <v>785</v>
      </c>
      <c r="E65" s="1031"/>
      <c r="F65" s="1032"/>
      <c r="G65" s="924" t="n">
        <f aca="false">FreeForm!E100</f>
        <v>1734.94</v>
      </c>
      <c r="H65" s="925"/>
    </row>
    <row r="66" customFormat="false" ht="15" hidden="false" customHeight="false" outlineLevel="0" collapsed="false">
      <c r="B66" s="911"/>
      <c r="C66" s="932"/>
      <c r="D66" s="1006"/>
      <c r="E66" s="1006"/>
      <c r="F66" s="933" t="s">
        <v>675</v>
      </c>
      <c r="G66" s="934" t="n">
        <f aca="false">SUM(G35:G65)</f>
        <v>8369.97</v>
      </c>
      <c r="H66" s="949"/>
    </row>
    <row r="67" customFormat="false" ht="14.25" hidden="false" customHeight="false" outlineLevel="0" collapsed="false">
      <c r="B67" s="911"/>
      <c r="C67" s="1033"/>
      <c r="D67" s="1033"/>
      <c r="E67" s="1033"/>
      <c r="F67" s="1033"/>
      <c r="G67" s="936"/>
      <c r="H67" s="925"/>
    </row>
    <row r="68" customFormat="false" ht="14.25" hidden="false" customHeight="false" outlineLevel="0" collapsed="false">
      <c r="B68" s="911"/>
      <c r="C68" s="1034"/>
      <c r="D68" s="1034"/>
      <c r="E68" s="1034"/>
      <c r="F68" s="1034"/>
      <c r="G68" s="1035"/>
      <c r="H68" s="925"/>
    </row>
    <row r="69" customFormat="false" ht="14.25" hidden="false" customHeight="false" outlineLevel="0" collapsed="false">
      <c r="B69" s="911"/>
      <c r="C69" s="1036"/>
      <c r="D69" s="1036"/>
      <c r="E69" s="1036"/>
      <c r="F69" s="1036"/>
      <c r="G69" s="1037"/>
      <c r="H69" s="925"/>
    </row>
    <row r="70" customFormat="false" ht="14.25" hidden="false" customHeight="false" outlineLevel="0" collapsed="false">
      <c r="B70" s="911"/>
      <c r="C70" s="1036"/>
      <c r="D70" s="1036"/>
      <c r="E70" s="1036"/>
      <c r="F70" s="1036"/>
      <c r="G70" s="1037"/>
      <c r="H70" s="925"/>
    </row>
    <row r="71" customFormat="false" ht="14.25" hidden="false" customHeight="false" outlineLevel="0" collapsed="false">
      <c r="B71" s="911"/>
      <c r="C71" s="1036"/>
      <c r="D71" s="1036"/>
      <c r="E71" s="1036"/>
      <c r="F71" s="1036"/>
      <c r="G71" s="1037"/>
      <c r="H71" s="925"/>
    </row>
    <row r="72" customFormat="false" ht="14.25" hidden="false" customHeight="false" outlineLevel="0" collapsed="false">
      <c r="B72" s="911"/>
      <c r="C72" s="1038"/>
      <c r="D72" s="1038"/>
      <c r="E72" s="1038"/>
      <c r="F72" s="1039"/>
      <c r="G72" s="1037"/>
      <c r="H72" s="925"/>
    </row>
    <row r="73" customFormat="false" ht="14.25" hidden="false" customHeight="false" outlineLevel="0" collapsed="false">
      <c r="B73" s="911"/>
      <c r="C73" s="1038"/>
      <c r="D73" s="1038"/>
      <c r="E73" s="1038"/>
      <c r="F73" s="1039"/>
      <c r="G73" s="1037"/>
      <c r="H73" s="925"/>
    </row>
    <row r="74" customFormat="false" ht="14.25" hidden="false" customHeight="false" outlineLevel="0" collapsed="false">
      <c r="B74" s="911"/>
      <c r="C74" s="1038"/>
      <c r="D74" s="1038"/>
      <c r="E74" s="1038"/>
      <c r="F74" s="1039"/>
      <c r="G74" s="1037"/>
      <c r="H74" s="925"/>
    </row>
    <row r="75" customFormat="false" ht="14.25" hidden="false" customHeight="false" outlineLevel="0" collapsed="false">
      <c r="B75" s="911"/>
      <c r="C75" s="1038"/>
      <c r="D75" s="1038"/>
      <c r="E75" s="1038"/>
      <c r="F75" s="1039"/>
      <c r="G75" s="1037"/>
      <c r="H75" s="925"/>
    </row>
    <row r="76" customFormat="false" ht="14.25" hidden="false" customHeight="false" outlineLevel="0" collapsed="false">
      <c r="B76" s="911"/>
      <c r="C76" s="1038"/>
      <c r="D76" s="1038"/>
      <c r="E76" s="1038"/>
      <c r="F76" s="1039"/>
      <c r="G76" s="1037"/>
      <c r="H76" s="925"/>
    </row>
    <row r="77" customFormat="false" ht="14.25" hidden="false" customHeight="false" outlineLevel="0" collapsed="false">
      <c r="B77" s="911"/>
      <c r="C77" s="1038"/>
      <c r="D77" s="1038"/>
      <c r="E77" s="1038"/>
      <c r="F77" s="1039"/>
      <c r="G77" s="1037"/>
      <c r="H77" s="925"/>
    </row>
    <row r="78" customFormat="false" ht="14.25" hidden="false" customHeight="false" outlineLevel="0" collapsed="false">
      <c r="B78" s="911"/>
      <c r="C78" s="1038"/>
      <c r="D78" s="1038"/>
      <c r="E78" s="1038"/>
      <c r="F78" s="1039"/>
      <c r="G78" s="1037"/>
      <c r="H78" s="925"/>
    </row>
    <row r="79" customFormat="false" ht="14.25" hidden="false" customHeight="false" outlineLevel="0" collapsed="false">
      <c r="B79" s="911"/>
      <c r="C79" s="1038"/>
      <c r="D79" s="1038"/>
      <c r="E79" s="1038"/>
      <c r="F79" s="1039"/>
      <c r="G79" s="1037"/>
      <c r="H79" s="962"/>
    </row>
    <row r="80" customFormat="false" ht="14.25" hidden="false" customHeight="false" outlineLevel="0" collapsed="false">
      <c r="B80" s="911"/>
      <c r="C80" s="911"/>
      <c r="D80" s="911"/>
      <c r="E80" s="911"/>
      <c r="F80" s="954"/>
      <c r="G80" s="1040"/>
      <c r="H80" s="962"/>
    </row>
    <row r="81" customFormat="false" ht="14.25" hidden="false" customHeight="false" outlineLevel="0" collapsed="false">
      <c r="B81" s="911"/>
      <c r="C81" s="1041" t="s">
        <v>284</v>
      </c>
      <c r="D81" s="1041"/>
      <c r="E81" s="1041"/>
      <c r="F81" s="1041"/>
      <c r="G81" s="1041"/>
      <c r="H81" s="911"/>
    </row>
    <row r="82" customFormat="false" ht="14.25" hidden="false" customHeight="false" outlineLevel="0" collapsed="false">
      <c r="B82" s="911"/>
      <c r="C82" s="961" t="s">
        <v>786</v>
      </c>
      <c r="D82" s="961"/>
      <c r="E82" s="961"/>
      <c r="F82" s="961"/>
      <c r="G82" s="961"/>
      <c r="H82" s="911"/>
    </row>
    <row r="83" customFormat="false" ht="14.25" hidden="false" customHeight="false" outlineLevel="0" collapsed="false">
      <c r="B83" s="510"/>
      <c r="C83" s="510"/>
      <c r="D83" s="510"/>
      <c r="E83" s="510"/>
      <c r="F83" s="510"/>
      <c r="G83" s="510"/>
      <c r="H83" s="510"/>
    </row>
    <row r="84" customFormat="false" ht="14.25" hidden="false" customHeight="false" outlineLevel="0" collapsed="false">
      <c r="B84" s="510"/>
      <c r="C84" s="510"/>
      <c r="D84" s="510"/>
      <c r="E84" s="510"/>
      <c r="F84" s="510"/>
      <c r="G84" s="510"/>
      <c r="H84" s="510"/>
    </row>
    <row r="85" customFormat="false" ht="14.25" hidden="false" customHeight="false" outlineLevel="0" collapsed="false">
      <c r="B85" s="510"/>
      <c r="C85" s="510"/>
      <c r="D85" s="510"/>
      <c r="E85" s="510"/>
      <c r="F85" s="510"/>
      <c r="G85" s="510"/>
      <c r="H85" s="510"/>
    </row>
    <row r="86" customFormat="false" ht="14.25" hidden="false" customHeight="false" outlineLevel="0" collapsed="false">
      <c r="B86" s="510"/>
      <c r="C86" s="510"/>
      <c r="D86" s="510"/>
      <c r="E86" s="510"/>
      <c r="F86" s="510"/>
      <c r="G86" s="510"/>
      <c r="H86" s="510"/>
    </row>
    <row r="87" customFormat="false" ht="14.25" hidden="false" customHeight="false" outlineLevel="0" collapsed="false">
      <c r="B87" s="510"/>
      <c r="C87" s="510"/>
      <c r="D87" s="510"/>
      <c r="E87" s="510"/>
      <c r="F87" s="510"/>
      <c r="G87" s="510"/>
      <c r="H87" s="510"/>
    </row>
    <row r="88" customFormat="false" ht="14.25" hidden="false" customHeight="false" outlineLevel="0" collapsed="false">
      <c r="C88" s="510"/>
      <c r="D88" s="510"/>
      <c r="E88" s="510"/>
      <c r="F88" s="510"/>
      <c r="G88" s="510"/>
    </row>
    <row r="89" customFormat="false" ht="14.25" hidden="false" customHeight="false" outlineLevel="0" collapsed="false">
      <c r="C89" s="510"/>
      <c r="D89" s="510"/>
      <c r="E89" s="510"/>
      <c r="F89" s="510"/>
      <c r="G89" s="510"/>
    </row>
  </sheetData>
  <sheetProtection algorithmName="SHA-512" hashValue="RvW5jJSV2NkFqlc5+xV7IXjYx8AQevB/Qdxkij+KBP6AuHGHIOt1f+Sid8gb2DcTDEwG/4NjJK8XoOpMmhisPA==" saltValue="ohe1NyXval5ao3df9kPAOg==" spinCount="100000" sheet="true" objects="true" scenarios="true"/>
  <mergeCells count="22">
    <mergeCell ref="C3:G3"/>
    <mergeCell ref="C4:G4"/>
    <mergeCell ref="C6:G6"/>
    <mergeCell ref="C8:H8"/>
    <mergeCell ref="C10:G10"/>
    <mergeCell ref="D13:E13"/>
    <mergeCell ref="D14:E14"/>
    <mergeCell ref="D17:E17"/>
    <mergeCell ref="D18:E18"/>
    <mergeCell ref="D19:E19"/>
    <mergeCell ref="D20:E20"/>
    <mergeCell ref="D21:E21"/>
    <mergeCell ref="D22:E22"/>
    <mergeCell ref="D23:E23"/>
    <mergeCell ref="C31:G32"/>
    <mergeCell ref="C67:F67"/>
    <mergeCell ref="C68:F68"/>
    <mergeCell ref="C69:F69"/>
    <mergeCell ref="C70:F70"/>
    <mergeCell ref="C71:F71"/>
    <mergeCell ref="C81:G81"/>
    <mergeCell ref="C82:G82"/>
  </mergeCells>
  <conditionalFormatting sqref="G13:G23 G35:G65 G69:G79">
    <cfRule type="cellIs" priority="2" operator="lessThan" aboveAverage="0" equalAverage="0" bottom="0" percent="0" rank="0" text="" dxfId="33">
      <formula>0</formula>
    </cfRule>
  </conditionalFormatting>
  <dataValidations count="2">
    <dataValidation allowBlank="true" error="Enter a dollar amount." errorStyle="stop" operator="greaterThanOrEqual" showDropDown="false" showErrorMessage="true" showInputMessage="true" sqref="G13:G23 G35:G65 G69:G79" type="decimal">
      <formula1>-99999999</formula1>
      <formula2>0</formula2>
    </dataValidation>
    <dataValidation allowBlank="true" errorStyle="stop" operator="greaterThanOrEqual" showDropDown="false" showErrorMessage="true" showInputMessage="true" sqref="F72:F79" type="none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70"/>
  <sheetViews>
    <sheetView showFormulas="false" showGridLines="true" showRowColHeaders="true" showZeros="true" rightToLeft="false" tabSelected="false" showOutlineSymbols="true" defaultGridColor="true" view="normal" topLeftCell="A34" colorId="64" zoomScale="100" zoomScaleNormal="100" zoomScalePageLayoutView="100" workbookViewId="0">
      <selection pane="topLeft" activeCell="P43" activeCellId="0" sqref="P43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3" min="1" style="1" width="3.62"/>
    <col collapsed="false" customWidth="true" hidden="false" outlineLevel="0" max="4" min="4" style="1" width="45.62"/>
    <col collapsed="false" customWidth="true" hidden="false" outlineLevel="0" max="5" min="5" style="1" width="40.62"/>
    <col collapsed="false" customWidth="true" hidden="false" outlineLevel="0" max="6" min="6" style="1" width="15.62"/>
    <col collapsed="false" customWidth="true" hidden="false" outlineLevel="0" max="8" min="7" style="1" width="3.62"/>
    <col collapsed="false" customWidth="true" hidden="true" outlineLevel="0" max="15" min="9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1042"/>
      <c r="B1" s="1043"/>
      <c r="C1" s="1043"/>
      <c r="D1" s="1043"/>
      <c r="E1" s="1043"/>
      <c r="F1" s="1043"/>
      <c r="G1" s="1043"/>
      <c r="H1" s="1043"/>
      <c r="I1" s="1043"/>
      <c r="J1" s="1043"/>
      <c r="K1" s="1043"/>
      <c r="L1" s="1043"/>
      <c r="M1" s="1043"/>
      <c r="N1" s="1043"/>
      <c r="O1" s="104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1043"/>
    </row>
    <row r="2" customFormat="false" ht="14.25" hidden="false" customHeight="false" outlineLevel="0" collapsed="false">
      <c r="A2" s="1044"/>
      <c r="B2" s="1045"/>
      <c r="C2" s="81" t="str">
        <f aca="false">Contents!B59</f>
        <v>Version: AS L 6 LARGE locked LOCAL</v>
      </c>
      <c r="D2" s="1045"/>
      <c r="E2" s="1045"/>
      <c r="F2" s="1045"/>
      <c r="G2" s="1045"/>
      <c r="H2" s="1044"/>
      <c r="I2" s="1044"/>
      <c r="J2" s="1044"/>
      <c r="K2" s="1044"/>
      <c r="L2" s="1044"/>
      <c r="M2" s="1044"/>
      <c r="N2" s="1044"/>
      <c r="O2" s="1044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1044"/>
    </row>
    <row r="3" customFormat="false" ht="14.25" hidden="false" customHeight="false" outlineLevel="0" collapsed="false">
      <c r="A3" s="1046"/>
      <c r="B3" s="1047"/>
      <c r="C3" s="1048" t="str">
        <f aca="false">Contents!$E$3</f>
        <v>THE SOCIETY FOR CREATIVE ANACHRONISM, INC.</v>
      </c>
      <c r="D3" s="1048"/>
      <c r="E3" s="1048"/>
      <c r="F3" s="1048"/>
      <c r="G3" s="1049"/>
      <c r="H3" s="1043"/>
      <c r="I3" s="1043"/>
      <c r="J3" s="1043"/>
      <c r="K3" s="1043"/>
      <c r="L3" s="1043"/>
      <c r="M3" s="1043"/>
      <c r="N3" s="1043"/>
      <c r="O3" s="1043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1046"/>
    </row>
    <row r="4" customFormat="false" ht="14.25" hidden="false" customHeight="false" outlineLevel="0" collapsed="false">
      <c r="A4" s="1043"/>
      <c r="B4" s="1047"/>
      <c r="C4" s="1048" t="str">
        <f aca="false">Contents!$E$4</f>
        <v>FINANCIAL REPORT</v>
      </c>
      <c r="D4" s="1048"/>
      <c r="E4" s="1048"/>
      <c r="F4" s="1048"/>
      <c r="G4" s="1049"/>
      <c r="H4" s="1043"/>
      <c r="I4" s="1043"/>
      <c r="J4" s="1043"/>
      <c r="K4" s="1043"/>
      <c r="L4" s="1043"/>
      <c r="M4" s="1043"/>
      <c r="N4" s="1043"/>
      <c r="O4" s="104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1043"/>
    </row>
    <row r="5" customFormat="false" ht="14.25" hidden="false" customHeight="false" outlineLevel="0" collapsed="false">
      <c r="A5" s="1043"/>
      <c r="B5" s="1049"/>
      <c r="C5" s="1049"/>
      <c r="D5" s="1049"/>
      <c r="E5" s="1049"/>
      <c r="F5" s="1049"/>
      <c r="G5" s="1049"/>
      <c r="H5" s="1043"/>
      <c r="I5" s="1043"/>
      <c r="J5" s="1043"/>
      <c r="K5" s="1043"/>
      <c r="L5" s="1043"/>
      <c r="M5" s="1043"/>
      <c r="N5" s="1043"/>
      <c r="O5" s="104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1043"/>
    </row>
    <row r="6" customFormat="false" ht="14.25" hidden="false" customHeight="false" outlineLevel="0" collapsed="false">
      <c r="A6" s="1044"/>
      <c r="B6" s="1049"/>
      <c r="C6" s="1050" t="str">
        <f aca="false">Contents!B58</f>
        <v>Branch:   SCA, Inc.- Middle Kingdom                                               Period:  1/01/2025             to     12/31/2025            .</v>
      </c>
      <c r="D6" s="1050"/>
      <c r="E6" s="1050"/>
      <c r="F6" s="1050"/>
      <c r="G6" s="1049"/>
      <c r="H6" s="1044"/>
      <c r="I6" s="1044"/>
      <c r="J6" s="1044"/>
      <c r="K6" s="1044"/>
      <c r="L6" s="1044"/>
      <c r="M6" s="1044"/>
      <c r="N6" s="1044"/>
      <c r="O6" s="1044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1044"/>
    </row>
    <row r="7" customFormat="false" ht="14.25" hidden="false" customHeight="false" outlineLevel="0" collapsed="false">
      <c r="A7" s="1043"/>
      <c r="B7" s="1045"/>
      <c r="C7" s="1045"/>
      <c r="D7" s="1045"/>
      <c r="E7" s="1045"/>
      <c r="F7" s="1045"/>
      <c r="G7" s="1045"/>
      <c r="H7" s="1043"/>
      <c r="I7" s="1043"/>
      <c r="J7" s="1043"/>
      <c r="K7" s="1043"/>
      <c r="L7" s="1043"/>
      <c r="M7" s="1043"/>
      <c r="N7" s="1043"/>
      <c r="O7" s="104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1043"/>
    </row>
    <row r="8" customFormat="false" ht="17.35" hidden="false" customHeight="false" outlineLevel="0" collapsed="false">
      <c r="A8" s="1044"/>
      <c r="B8" s="1049"/>
      <c r="C8" s="1051" t="s">
        <v>787</v>
      </c>
      <c r="D8" s="1051"/>
      <c r="E8" s="1051"/>
      <c r="F8" s="1051"/>
      <c r="G8" s="1049"/>
      <c r="H8" s="1044"/>
      <c r="I8" s="1044"/>
      <c r="J8" s="1044"/>
      <c r="K8" s="1044"/>
      <c r="L8" s="1044"/>
      <c r="M8" s="1044"/>
      <c r="N8" s="1044"/>
      <c r="O8" s="1044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1044"/>
    </row>
    <row r="9" customFormat="false" ht="14.25" hidden="false" customHeight="false" outlineLevel="0" collapsed="false">
      <c r="A9" s="1043"/>
      <c r="B9" s="1045"/>
      <c r="C9" s="1045" t="s">
        <v>788</v>
      </c>
      <c r="D9" s="1045"/>
      <c r="E9" s="1045"/>
      <c r="F9" s="1045"/>
      <c r="G9" s="1045"/>
      <c r="H9" s="1043"/>
      <c r="I9" s="1043"/>
      <c r="J9" s="1043"/>
      <c r="K9" s="1043"/>
      <c r="L9" s="1043"/>
      <c r="M9" s="1043"/>
      <c r="N9" s="1043"/>
      <c r="O9" s="1043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1043"/>
    </row>
    <row r="10" customFormat="false" ht="14.25" hidden="false" customHeight="true" outlineLevel="0" collapsed="false">
      <c r="A10" s="1043"/>
      <c r="B10" s="1049"/>
      <c r="C10" s="1052" t="s">
        <v>789</v>
      </c>
      <c r="D10" s="1053" t="s">
        <v>790</v>
      </c>
      <c r="E10" s="1053"/>
      <c r="F10" s="1054" t="s">
        <v>416</v>
      </c>
      <c r="G10" s="1049"/>
      <c r="H10" s="1043"/>
      <c r="I10" s="1043"/>
      <c r="J10" s="1043"/>
      <c r="K10" s="1043"/>
      <c r="L10" s="1043"/>
      <c r="M10" s="1043"/>
      <c r="N10" s="1043"/>
      <c r="O10" s="1043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043"/>
    </row>
    <row r="11" customFormat="false" ht="14.25" hidden="false" customHeight="false" outlineLevel="0" collapsed="false">
      <c r="A11" s="1043"/>
      <c r="B11" s="1049"/>
      <c r="C11" s="1052"/>
      <c r="D11" s="1055" t="s">
        <v>791</v>
      </c>
      <c r="E11" s="1055"/>
      <c r="F11" s="1054"/>
      <c r="G11" s="1049"/>
      <c r="H11" s="1043"/>
      <c r="I11" s="1043"/>
      <c r="J11" s="1043"/>
      <c r="K11" s="1043"/>
      <c r="L11" s="1043"/>
      <c r="M11" s="1043"/>
      <c r="N11" s="1043"/>
      <c r="O11" s="1043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043"/>
    </row>
    <row r="12" customFormat="false" ht="14.25" hidden="false" customHeight="false" outlineLevel="0" collapsed="false">
      <c r="A12" s="1043"/>
      <c r="B12" s="1049"/>
      <c r="C12" s="1056"/>
      <c r="D12" s="1057"/>
      <c r="E12" s="1057"/>
      <c r="F12" s="1058"/>
      <c r="G12" s="1049"/>
      <c r="H12" s="1043"/>
      <c r="I12" s="1043"/>
      <c r="J12" s="1043"/>
      <c r="K12" s="1043"/>
      <c r="L12" s="1043"/>
      <c r="M12" s="1043"/>
      <c r="N12" s="1043"/>
      <c r="O12" s="1043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043"/>
    </row>
    <row r="13" customFormat="false" ht="14.25" hidden="false" customHeight="false" outlineLevel="0" collapsed="false">
      <c r="A13" s="1043"/>
      <c r="B13" s="1049"/>
      <c r="C13" s="1056"/>
      <c r="D13" s="927"/>
      <c r="E13" s="927"/>
      <c r="F13" s="1059"/>
      <c r="G13" s="1049"/>
      <c r="H13" s="1043"/>
      <c r="I13" s="1043"/>
      <c r="J13" s="1043"/>
      <c r="K13" s="1043"/>
      <c r="L13" s="1043"/>
      <c r="M13" s="1043"/>
      <c r="N13" s="1043"/>
      <c r="O13" s="1043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043"/>
    </row>
    <row r="14" customFormat="false" ht="14.25" hidden="false" customHeight="false" outlineLevel="0" collapsed="false">
      <c r="A14" s="1043"/>
      <c r="B14" s="1049"/>
      <c r="C14" s="1056"/>
      <c r="D14" s="1060"/>
      <c r="E14" s="1060"/>
      <c r="F14" s="1059"/>
      <c r="G14" s="1049"/>
      <c r="H14" s="1043"/>
      <c r="I14" s="1043"/>
      <c r="J14" s="1043"/>
      <c r="K14" s="1043"/>
      <c r="L14" s="1043"/>
      <c r="M14" s="1043"/>
      <c r="N14" s="1043"/>
      <c r="O14" s="1043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043"/>
    </row>
    <row r="15" customFormat="false" ht="14.25" hidden="false" customHeight="false" outlineLevel="0" collapsed="false">
      <c r="A15" s="1043"/>
      <c r="B15" s="1049"/>
      <c r="C15" s="1056"/>
      <c r="D15" s="1060"/>
      <c r="E15" s="1060"/>
      <c r="F15" s="1059"/>
      <c r="G15" s="1049"/>
      <c r="H15" s="1043"/>
      <c r="I15" s="1043"/>
      <c r="J15" s="1043"/>
      <c r="K15" s="1043"/>
      <c r="L15" s="1043"/>
      <c r="M15" s="1043"/>
      <c r="N15" s="1043"/>
      <c r="O15" s="1043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043"/>
    </row>
    <row r="16" customFormat="false" ht="14.25" hidden="false" customHeight="false" outlineLevel="0" collapsed="false">
      <c r="A16" s="1043"/>
      <c r="B16" s="1049"/>
      <c r="C16" s="1056"/>
      <c r="D16" s="1060"/>
      <c r="E16" s="1060"/>
      <c r="F16" s="1059"/>
      <c r="G16" s="1049"/>
      <c r="H16" s="1043"/>
      <c r="I16" s="1043"/>
      <c r="J16" s="1043"/>
      <c r="K16" s="1043"/>
      <c r="L16" s="1043"/>
      <c r="M16" s="1043"/>
      <c r="N16" s="1043"/>
      <c r="O16" s="1043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1043"/>
    </row>
    <row r="17" customFormat="false" ht="14.25" hidden="false" customHeight="false" outlineLevel="0" collapsed="false">
      <c r="A17" s="1043"/>
      <c r="B17" s="1049"/>
      <c r="C17" s="1056"/>
      <c r="D17" s="1060"/>
      <c r="E17" s="1060"/>
      <c r="F17" s="1059"/>
      <c r="G17" s="1049"/>
      <c r="H17" s="1043"/>
      <c r="I17" s="1043"/>
      <c r="J17" s="1043"/>
      <c r="K17" s="1043"/>
      <c r="L17" s="1043"/>
      <c r="M17" s="1043"/>
      <c r="N17" s="1043"/>
      <c r="O17" s="104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1043"/>
    </row>
    <row r="18" customFormat="false" ht="14.25" hidden="false" customHeight="false" outlineLevel="0" collapsed="false">
      <c r="A18" s="1043"/>
      <c r="B18" s="1049"/>
      <c r="C18" s="1056"/>
      <c r="D18" s="1060"/>
      <c r="E18" s="1060"/>
      <c r="F18" s="1059"/>
      <c r="G18" s="1049"/>
      <c r="H18" s="1043"/>
      <c r="I18" s="1043"/>
      <c r="J18" s="1043"/>
      <c r="K18" s="1043"/>
      <c r="L18" s="1043"/>
      <c r="M18" s="1043"/>
      <c r="N18" s="1043"/>
      <c r="O18" s="1043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1043"/>
    </row>
    <row r="19" customFormat="false" ht="14.25" hidden="false" customHeight="false" outlineLevel="0" collapsed="false">
      <c r="A19" s="1043"/>
      <c r="B19" s="1049"/>
      <c r="C19" s="1056"/>
      <c r="D19" s="1060"/>
      <c r="E19" s="1060"/>
      <c r="F19" s="1059"/>
      <c r="G19" s="1049"/>
      <c r="H19" s="1043"/>
      <c r="I19" s="1043"/>
      <c r="J19" s="1043"/>
      <c r="K19" s="1043"/>
      <c r="L19" s="1043"/>
      <c r="M19" s="1043"/>
      <c r="N19" s="1043"/>
      <c r="O19" s="1043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1043"/>
    </row>
    <row r="20" customFormat="false" ht="14.25" hidden="false" customHeight="false" outlineLevel="0" collapsed="false">
      <c r="A20" s="1043"/>
      <c r="B20" s="1049"/>
      <c r="C20" s="1056"/>
      <c r="D20" s="1060"/>
      <c r="E20" s="1060"/>
      <c r="F20" s="1059"/>
      <c r="G20" s="1049"/>
      <c r="H20" s="1043"/>
      <c r="I20" s="1043"/>
      <c r="J20" s="1043"/>
      <c r="K20" s="1043"/>
      <c r="L20" s="1043"/>
      <c r="M20" s="1043"/>
      <c r="N20" s="1043"/>
      <c r="O20" s="1043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1043"/>
    </row>
    <row r="21" customFormat="false" ht="14.25" hidden="false" customHeight="false" outlineLevel="0" collapsed="false">
      <c r="A21" s="1044"/>
      <c r="B21" s="1049"/>
      <c r="C21" s="1056"/>
      <c r="D21" s="1060"/>
      <c r="E21" s="1060"/>
      <c r="F21" s="1059"/>
      <c r="G21" s="1049"/>
      <c r="H21" s="1044"/>
      <c r="I21" s="1044"/>
      <c r="J21" s="1044"/>
      <c r="K21" s="1044"/>
      <c r="L21" s="1044"/>
      <c r="M21" s="1044"/>
      <c r="N21" s="1044"/>
      <c r="O21" s="1044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1044"/>
    </row>
    <row r="22" customFormat="false" ht="14.25" hidden="false" customHeight="false" outlineLevel="0" collapsed="false">
      <c r="A22" s="1043"/>
      <c r="B22" s="1049"/>
      <c r="C22" s="1056"/>
      <c r="D22" s="1061"/>
      <c r="E22" s="1061"/>
      <c r="F22" s="1058"/>
      <c r="G22" s="1049"/>
      <c r="H22" s="1043"/>
      <c r="I22" s="1043"/>
      <c r="J22" s="1043"/>
      <c r="K22" s="1043"/>
      <c r="L22" s="1043"/>
      <c r="M22" s="1043"/>
      <c r="N22" s="1043"/>
      <c r="O22" s="1043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1043"/>
    </row>
    <row r="23" customFormat="false" ht="14.25" hidden="false" customHeight="false" outlineLevel="0" collapsed="false">
      <c r="A23" s="1043"/>
      <c r="B23" s="1049"/>
      <c r="C23" s="1062"/>
      <c r="D23" s="1063"/>
      <c r="E23" s="933" t="s">
        <v>792</v>
      </c>
      <c r="F23" s="1064" t="n">
        <f aca="false">SUM(F12:F22)</f>
        <v>0</v>
      </c>
      <c r="G23" s="1049"/>
      <c r="H23" s="1043"/>
      <c r="I23" s="1043"/>
      <c r="J23" s="1043"/>
      <c r="K23" s="1043"/>
      <c r="L23" s="1043"/>
      <c r="M23" s="1043"/>
      <c r="N23" s="1043"/>
      <c r="O23" s="1043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1043"/>
    </row>
    <row r="24" customFormat="false" ht="14.25" hidden="false" customHeight="false" outlineLevel="0" collapsed="false">
      <c r="A24" s="1043"/>
      <c r="B24" s="1049"/>
      <c r="C24" s="1045"/>
      <c r="D24" s="1045"/>
      <c r="E24" s="1045"/>
      <c r="F24" s="1045"/>
      <c r="G24" s="1049"/>
      <c r="H24" s="1043"/>
      <c r="I24" s="1043"/>
      <c r="J24" s="1043"/>
      <c r="K24" s="1043"/>
      <c r="L24" s="1043"/>
      <c r="M24" s="1043"/>
      <c r="N24" s="1043"/>
      <c r="O24" s="1043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1043"/>
    </row>
    <row r="25" customFormat="false" ht="14.25" hidden="false" customHeight="true" outlineLevel="0" collapsed="false">
      <c r="A25" s="1043"/>
      <c r="B25" s="1049"/>
      <c r="C25" s="1052" t="s">
        <v>541</v>
      </c>
      <c r="D25" s="1065" t="s">
        <v>793</v>
      </c>
      <c r="E25" s="1066" t="s">
        <v>423</v>
      </c>
      <c r="F25" s="1054" t="s">
        <v>416</v>
      </c>
      <c r="G25" s="1049"/>
      <c r="H25" s="1043"/>
      <c r="I25" s="1043"/>
      <c r="J25" s="1043"/>
      <c r="K25" s="1043"/>
      <c r="L25" s="1043"/>
      <c r="M25" s="1043"/>
      <c r="N25" s="1043"/>
      <c r="O25" s="1043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1043"/>
    </row>
    <row r="26" customFormat="false" ht="14.25" hidden="false" customHeight="false" outlineLevel="0" collapsed="false">
      <c r="A26" s="1043"/>
      <c r="B26" s="1049"/>
      <c r="C26" s="1052"/>
      <c r="D26" s="1067" t="s">
        <v>794</v>
      </c>
      <c r="E26" s="1066"/>
      <c r="F26" s="1054"/>
      <c r="G26" s="1049"/>
      <c r="H26" s="1043"/>
      <c r="I26" s="1043"/>
      <c r="J26" s="1043"/>
      <c r="K26" s="1043"/>
      <c r="L26" s="1043"/>
      <c r="M26" s="1043"/>
      <c r="N26" s="1043"/>
      <c r="O26" s="1043"/>
      <c r="P26" s="79" t="s">
        <v>174</v>
      </c>
      <c r="Q26" s="78"/>
      <c r="R26" s="78"/>
      <c r="S26" s="79" t="s">
        <v>83</v>
      </c>
      <c r="T26" s="79" t="s">
        <v>174</v>
      </c>
      <c r="U26" s="1043"/>
    </row>
    <row r="27" customFormat="false" ht="14.25" hidden="false" customHeight="false" outlineLevel="0" collapsed="false">
      <c r="A27" s="1043"/>
      <c r="B27" s="1049"/>
      <c r="C27" s="1068"/>
      <c r="D27" s="1069"/>
      <c r="E27" s="1070"/>
      <c r="F27" s="1058"/>
      <c r="G27" s="1049"/>
      <c r="H27" s="1043"/>
      <c r="I27" s="1043"/>
      <c r="J27" s="1043"/>
      <c r="K27" s="1043"/>
      <c r="L27" s="1043"/>
      <c r="M27" s="1043"/>
      <c r="N27" s="1043"/>
      <c r="O27" s="1043"/>
      <c r="P27" s="79" t="s">
        <v>177</v>
      </c>
      <c r="Q27" s="78"/>
      <c r="R27" s="78"/>
      <c r="S27" s="79" t="s">
        <v>85</v>
      </c>
      <c r="T27" s="79" t="s">
        <v>76</v>
      </c>
      <c r="U27" s="1043"/>
    </row>
    <row r="28" customFormat="false" ht="14.25" hidden="false" customHeight="false" outlineLevel="0" collapsed="false">
      <c r="A28" s="1043"/>
      <c r="B28" s="1049"/>
      <c r="C28" s="1068"/>
      <c r="D28" s="1060"/>
      <c r="E28" s="927"/>
      <c r="F28" s="1059"/>
      <c r="G28" s="1049"/>
      <c r="H28" s="1043"/>
      <c r="I28" s="1043"/>
      <c r="J28" s="1043"/>
      <c r="K28" s="1043"/>
      <c r="L28" s="1043"/>
      <c r="M28" s="1043"/>
      <c r="N28" s="1043"/>
      <c r="O28" s="1043"/>
      <c r="P28" s="79" t="s">
        <v>178</v>
      </c>
      <c r="Q28" s="78"/>
      <c r="R28" s="78"/>
      <c r="S28" s="79" t="s">
        <v>86</v>
      </c>
      <c r="T28" s="79" t="s">
        <v>78</v>
      </c>
      <c r="U28" s="1043"/>
    </row>
    <row r="29" customFormat="false" ht="14.25" hidden="false" customHeight="false" outlineLevel="0" collapsed="false">
      <c r="A29" s="1043"/>
      <c r="B29" s="1049"/>
      <c r="C29" s="1068"/>
      <c r="D29" s="1060"/>
      <c r="E29" s="927"/>
      <c r="F29" s="1059"/>
      <c r="G29" s="1049"/>
      <c r="H29" s="1043"/>
      <c r="I29" s="1043"/>
      <c r="J29" s="1043"/>
      <c r="K29" s="1043"/>
      <c r="L29" s="1043"/>
      <c r="M29" s="1043"/>
      <c r="N29" s="1043"/>
      <c r="O29" s="1043"/>
      <c r="P29" s="79" t="s">
        <v>179</v>
      </c>
      <c r="Q29" s="78"/>
      <c r="R29" s="78"/>
      <c r="S29" s="79" t="s">
        <v>87</v>
      </c>
      <c r="T29" s="79" t="s">
        <v>79</v>
      </c>
      <c r="U29" s="1043"/>
    </row>
    <row r="30" customFormat="false" ht="14.25" hidden="false" customHeight="false" outlineLevel="0" collapsed="false">
      <c r="A30" s="1043"/>
      <c r="B30" s="1049"/>
      <c r="C30" s="1068"/>
      <c r="D30" s="1060"/>
      <c r="E30" s="927"/>
      <c r="F30" s="1059"/>
      <c r="G30" s="1049"/>
      <c r="H30" s="1043"/>
      <c r="I30" s="1043"/>
      <c r="J30" s="1043"/>
      <c r="K30" s="1043"/>
      <c r="L30" s="1043"/>
      <c r="M30" s="1043"/>
      <c r="N30" s="1043"/>
      <c r="O30" s="1043"/>
      <c r="P30" s="79" t="s">
        <v>180</v>
      </c>
      <c r="Q30" s="78"/>
      <c r="R30" s="78"/>
      <c r="S30" s="79" t="s">
        <v>91</v>
      </c>
      <c r="T30" s="79" t="s">
        <v>81</v>
      </c>
      <c r="U30" s="1043"/>
    </row>
    <row r="31" customFormat="false" ht="14.25" hidden="false" customHeight="false" outlineLevel="0" collapsed="false">
      <c r="A31" s="1043"/>
      <c r="B31" s="1049"/>
      <c r="C31" s="1068"/>
      <c r="D31" s="1060"/>
      <c r="E31" s="927"/>
      <c r="F31" s="1059"/>
      <c r="G31" s="1049"/>
      <c r="H31" s="1043"/>
      <c r="I31" s="1043"/>
      <c r="J31" s="1043"/>
      <c r="K31" s="1043"/>
      <c r="L31" s="1043"/>
      <c r="M31" s="1043"/>
      <c r="N31" s="1043"/>
      <c r="O31" s="1043"/>
      <c r="P31" s="79" t="s">
        <v>181</v>
      </c>
      <c r="Q31" s="78"/>
      <c r="R31" s="78"/>
      <c r="S31" s="78"/>
      <c r="T31" s="79" t="s">
        <v>83</v>
      </c>
      <c r="U31" s="1043"/>
    </row>
    <row r="32" customFormat="false" ht="14.25" hidden="false" customHeight="false" outlineLevel="0" collapsed="false">
      <c r="A32" s="1043"/>
      <c r="B32" s="1049"/>
      <c r="C32" s="1068"/>
      <c r="D32" s="1060"/>
      <c r="E32" s="927"/>
      <c r="F32" s="1059"/>
      <c r="G32" s="1049"/>
      <c r="H32" s="1043"/>
      <c r="I32" s="1043"/>
      <c r="J32" s="1043"/>
      <c r="K32" s="1043"/>
      <c r="L32" s="1043"/>
      <c r="M32" s="1043"/>
      <c r="N32" s="1043"/>
      <c r="O32" s="1043"/>
      <c r="P32" s="79" t="s">
        <v>76</v>
      </c>
      <c r="Q32" s="78"/>
      <c r="R32" s="78"/>
      <c r="S32" s="78"/>
      <c r="T32" s="79" t="s">
        <v>85</v>
      </c>
      <c r="U32" s="1043"/>
    </row>
    <row r="33" customFormat="false" ht="14.25" hidden="false" customHeight="false" outlineLevel="0" collapsed="false">
      <c r="A33" s="1043"/>
      <c r="B33" s="1049"/>
      <c r="C33" s="1068"/>
      <c r="D33" s="1060"/>
      <c r="E33" s="927"/>
      <c r="F33" s="1059"/>
      <c r="G33" s="1049"/>
      <c r="H33" s="1043"/>
      <c r="I33" s="1043"/>
      <c r="J33" s="1043"/>
      <c r="K33" s="1043"/>
      <c r="L33" s="1043"/>
      <c r="M33" s="1043"/>
      <c r="N33" s="1043"/>
      <c r="O33" s="1043"/>
      <c r="P33" s="79" t="s">
        <v>78</v>
      </c>
      <c r="Q33" s="78"/>
      <c r="R33" s="78"/>
      <c r="S33" s="78"/>
      <c r="T33" s="79" t="s">
        <v>86</v>
      </c>
      <c r="U33" s="1043"/>
    </row>
    <row r="34" customFormat="false" ht="14.25" hidden="false" customHeight="false" outlineLevel="0" collapsed="false">
      <c r="A34" s="1043"/>
      <c r="B34" s="1049"/>
      <c r="C34" s="1068"/>
      <c r="D34" s="1060"/>
      <c r="E34" s="927"/>
      <c r="F34" s="1059"/>
      <c r="G34" s="1049"/>
      <c r="H34" s="1043"/>
      <c r="I34" s="1043"/>
      <c r="J34" s="1043"/>
      <c r="K34" s="1043"/>
      <c r="L34" s="1043"/>
      <c r="M34" s="1043"/>
      <c r="N34" s="1043"/>
      <c r="O34" s="1043"/>
      <c r="P34" s="79" t="s">
        <v>79</v>
      </c>
      <c r="Q34" s="78"/>
      <c r="R34" s="78"/>
      <c r="S34" s="78"/>
      <c r="T34" s="79" t="s">
        <v>87</v>
      </c>
      <c r="U34" s="1043"/>
    </row>
    <row r="35" customFormat="false" ht="14.25" hidden="false" customHeight="false" outlineLevel="0" collapsed="false">
      <c r="A35" s="1043"/>
      <c r="B35" s="1049"/>
      <c r="C35" s="1068"/>
      <c r="D35" s="1060"/>
      <c r="E35" s="927"/>
      <c r="F35" s="1059"/>
      <c r="G35" s="1049"/>
      <c r="H35" s="1043"/>
      <c r="I35" s="1043"/>
      <c r="J35" s="1043"/>
      <c r="K35" s="1043"/>
      <c r="L35" s="1043"/>
      <c r="M35" s="1043"/>
      <c r="N35" s="1043"/>
      <c r="O35" s="1043"/>
      <c r="P35" s="79" t="s">
        <v>81</v>
      </c>
      <c r="Q35" s="78"/>
      <c r="R35" s="78"/>
      <c r="S35" s="78"/>
      <c r="T35" s="79" t="s">
        <v>89</v>
      </c>
      <c r="U35" s="1043"/>
    </row>
    <row r="36" customFormat="false" ht="14.25" hidden="false" customHeight="false" outlineLevel="0" collapsed="false">
      <c r="A36" s="1043"/>
      <c r="B36" s="1049"/>
      <c r="C36" s="1068"/>
      <c r="D36" s="1060"/>
      <c r="E36" s="927"/>
      <c r="F36" s="1059"/>
      <c r="G36" s="1049"/>
      <c r="H36" s="1043"/>
      <c r="I36" s="1043"/>
      <c r="J36" s="1043"/>
      <c r="K36" s="1043"/>
      <c r="L36" s="1043"/>
      <c r="M36" s="1043"/>
      <c r="N36" s="1043"/>
      <c r="O36" s="1043"/>
      <c r="P36" s="79" t="s">
        <v>83</v>
      </c>
      <c r="Q36" s="78"/>
      <c r="R36" s="78"/>
      <c r="S36" s="78"/>
      <c r="T36" s="79" t="s">
        <v>90</v>
      </c>
      <c r="U36" s="1043"/>
    </row>
    <row r="37" customFormat="false" ht="14.25" hidden="false" customHeight="false" outlineLevel="0" collapsed="false">
      <c r="A37" s="1044"/>
      <c r="B37" s="1049"/>
      <c r="C37" s="1068"/>
      <c r="D37" s="1060"/>
      <c r="E37" s="927"/>
      <c r="F37" s="1059"/>
      <c r="G37" s="1049"/>
      <c r="H37" s="1044"/>
      <c r="I37" s="1044"/>
      <c r="J37" s="1044"/>
      <c r="K37" s="1044"/>
      <c r="L37" s="1044"/>
      <c r="M37" s="1044"/>
      <c r="N37" s="1044"/>
      <c r="O37" s="1044"/>
      <c r="P37" s="79" t="s">
        <v>85</v>
      </c>
      <c r="Q37" s="78"/>
      <c r="R37" s="78"/>
      <c r="S37" s="78"/>
      <c r="T37" s="79" t="s">
        <v>192</v>
      </c>
      <c r="U37" s="1044"/>
    </row>
    <row r="38" customFormat="false" ht="14.25" hidden="false" customHeight="false" outlineLevel="0" collapsed="false">
      <c r="A38" s="1043"/>
      <c r="B38" s="1049"/>
      <c r="C38" s="1068"/>
      <c r="D38" s="1069"/>
      <c r="E38" s="1071"/>
      <c r="F38" s="1058"/>
      <c r="G38" s="1049"/>
      <c r="H38" s="1043"/>
      <c r="I38" s="1043"/>
      <c r="J38" s="1043"/>
      <c r="K38" s="1043"/>
      <c r="L38" s="1043"/>
      <c r="M38" s="1043"/>
      <c r="N38" s="1043"/>
      <c r="O38" s="1043"/>
      <c r="P38" s="79" t="s">
        <v>86</v>
      </c>
      <c r="Q38" s="78"/>
      <c r="R38" s="78"/>
      <c r="S38" s="78"/>
      <c r="T38" s="79" t="s">
        <v>91</v>
      </c>
      <c r="U38" s="1043"/>
    </row>
    <row r="39" customFormat="false" ht="14.25" hidden="false" customHeight="false" outlineLevel="0" collapsed="false">
      <c r="A39" s="1043"/>
      <c r="B39" s="1049"/>
      <c r="C39" s="1062"/>
      <c r="D39" s="1063"/>
      <c r="E39" s="933" t="s">
        <v>795</v>
      </c>
      <c r="F39" s="1064" t="n">
        <f aca="false">SUM(F27:F38)</f>
        <v>0</v>
      </c>
      <c r="G39" s="1049"/>
      <c r="H39" s="1043"/>
      <c r="I39" s="1043"/>
      <c r="J39" s="1043"/>
      <c r="K39" s="1043"/>
      <c r="L39" s="1043"/>
      <c r="M39" s="1043"/>
      <c r="N39" s="1043"/>
      <c r="O39" s="1043"/>
      <c r="P39" s="79" t="s">
        <v>87</v>
      </c>
      <c r="Q39" s="78"/>
      <c r="R39" s="78"/>
      <c r="S39" s="78"/>
      <c r="T39" s="79"/>
      <c r="U39" s="1043"/>
    </row>
    <row r="40" customFormat="false" ht="14.25" hidden="false" customHeight="false" outlineLevel="0" collapsed="false">
      <c r="A40" s="1043"/>
      <c r="B40" s="1049"/>
      <c r="C40" s="1045"/>
      <c r="D40" s="1072"/>
      <c r="E40" s="1045"/>
      <c r="F40" s="1045"/>
      <c r="G40" s="1049"/>
      <c r="H40" s="1043"/>
      <c r="I40" s="1043"/>
      <c r="J40" s="1043"/>
      <c r="K40" s="1043"/>
      <c r="L40" s="1043"/>
      <c r="M40" s="1043"/>
      <c r="N40" s="1043"/>
      <c r="O40" s="1043"/>
      <c r="P40" s="79" t="s">
        <v>89</v>
      </c>
      <c r="Q40" s="78"/>
      <c r="R40" s="78"/>
      <c r="S40" s="78"/>
      <c r="T40" s="78"/>
      <c r="U40" s="1043"/>
    </row>
    <row r="41" customFormat="false" ht="14.25" hidden="false" customHeight="true" outlineLevel="0" collapsed="false">
      <c r="A41" s="1043"/>
      <c r="B41" s="1049"/>
      <c r="C41" s="1052" t="s">
        <v>541</v>
      </c>
      <c r="D41" s="1065" t="s">
        <v>796</v>
      </c>
      <c r="E41" s="673" t="s">
        <v>797</v>
      </c>
      <c r="F41" s="1054" t="s">
        <v>416</v>
      </c>
      <c r="G41" s="1049"/>
      <c r="H41" s="1043"/>
      <c r="I41" s="1043"/>
      <c r="J41" s="1043"/>
      <c r="K41" s="1043"/>
      <c r="L41" s="1043"/>
      <c r="M41" s="1043"/>
      <c r="N41" s="1043"/>
      <c r="O41" s="1043"/>
      <c r="P41" s="79" t="s">
        <v>90</v>
      </c>
      <c r="Q41" s="78"/>
      <c r="R41" s="78"/>
      <c r="S41" s="78"/>
      <c r="T41" s="117"/>
      <c r="U41" s="1043"/>
    </row>
    <row r="42" customFormat="false" ht="14.25" hidden="false" customHeight="false" outlineLevel="0" collapsed="false">
      <c r="A42" s="1043"/>
      <c r="B42" s="1049"/>
      <c r="C42" s="1052"/>
      <c r="D42" s="1067" t="s">
        <v>794</v>
      </c>
      <c r="E42" s="673"/>
      <c r="F42" s="1054"/>
      <c r="G42" s="1049"/>
      <c r="H42" s="1043"/>
      <c r="I42" s="1043"/>
      <c r="J42" s="1043"/>
      <c r="K42" s="1043"/>
      <c r="L42" s="1043"/>
      <c r="M42" s="1043"/>
      <c r="N42" s="1043"/>
      <c r="O42" s="1043"/>
      <c r="P42" s="79" t="s">
        <v>192</v>
      </c>
      <c r="Q42" s="78"/>
      <c r="R42" s="78"/>
      <c r="S42" s="78"/>
      <c r="T42" s="78"/>
      <c r="U42" s="1043"/>
    </row>
    <row r="43" customFormat="false" ht="14.25" hidden="false" customHeight="false" outlineLevel="0" collapsed="false">
      <c r="A43" s="1043"/>
      <c r="B43" s="1049"/>
      <c r="C43" s="1068" t="s">
        <v>582</v>
      </c>
      <c r="D43" s="1057" t="s">
        <v>798</v>
      </c>
      <c r="E43" s="1070" t="s">
        <v>799</v>
      </c>
      <c r="F43" s="1058" t="n">
        <v>26.95</v>
      </c>
      <c r="G43" s="1049"/>
      <c r="H43" s="1043"/>
      <c r="I43" s="1043"/>
      <c r="J43" s="1043"/>
      <c r="K43" s="1043"/>
      <c r="L43" s="1043"/>
      <c r="M43" s="1043"/>
      <c r="N43" s="1043"/>
      <c r="O43" s="1043"/>
      <c r="P43" s="79" t="s">
        <v>91</v>
      </c>
      <c r="Q43" s="78"/>
      <c r="R43" s="78"/>
      <c r="S43" s="78"/>
      <c r="T43" s="78"/>
      <c r="U43" s="1043"/>
    </row>
    <row r="44" customFormat="false" ht="14.25" hidden="false" customHeight="false" outlineLevel="0" collapsed="false">
      <c r="A44" s="1043"/>
      <c r="B44" s="1049"/>
      <c r="C44" s="1068" t="s">
        <v>582</v>
      </c>
      <c r="D44" s="1070" t="s">
        <v>800</v>
      </c>
      <c r="E44" s="1070" t="s">
        <v>799</v>
      </c>
      <c r="F44" s="1059" t="n">
        <v>7.99</v>
      </c>
      <c r="G44" s="1049"/>
      <c r="H44" s="1043"/>
      <c r="I44" s="1043"/>
      <c r="J44" s="1043"/>
      <c r="K44" s="1043"/>
      <c r="L44" s="1043"/>
      <c r="M44" s="1043"/>
      <c r="N44" s="1043"/>
      <c r="O44" s="1043"/>
      <c r="P44" s="78"/>
      <c r="Q44" s="78"/>
      <c r="R44" s="78"/>
      <c r="S44" s="78"/>
      <c r="T44" s="78"/>
      <c r="U44" s="1043"/>
    </row>
    <row r="45" customFormat="false" ht="14.25" hidden="false" customHeight="false" outlineLevel="0" collapsed="false">
      <c r="A45" s="1043"/>
      <c r="B45" s="1049"/>
      <c r="C45" s="1068" t="s">
        <v>582</v>
      </c>
      <c r="D45" s="1060" t="s">
        <v>800</v>
      </c>
      <c r="E45" s="927" t="s">
        <v>799</v>
      </c>
      <c r="F45" s="1059" t="n">
        <v>7.99</v>
      </c>
      <c r="G45" s="1049"/>
      <c r="H45" s="1043"/>
      <c r="I45" s="1043"/>
      <c r="J45" s="1043"/>
      <c r="K45" s="1043"/>
      <c r="L45" s="1043"/>
      <c r="M45" s="1043"/>
      <c r="N45" s="1043"/>
      <c r="O45" s="1043"/>
      <c r="P45" s="78"/>
      <c r="Q45" s="78"/>
      <c r="R45" s="78"/>
      <c r="S45" s="78"/>
      <c r="T45" s="78"/>
      <c r="U45" s="1043"/>
    </row>
    <row r="46" customFormat="false" ht="14.25" hidden="false" customHeight="false" outlineLevel="0" collapsed="false">
      <c r="A46" s="1043"/>
      <c r="B46" s="1049"/>
      <c r="C46" s="1068" t="s">
        <v>582</v>
      </c>
      <c r="D46" s="1060" t="s">
        <v>801</v>
      </c>
      <c r="E46" s="927" t="s">
        <v>799</v>
      </c>
      <c r="F46" s="1059" t="n">
        <v>68.81</v>
      </c>
      <c r="G46" s="1049"/>
      <c r="H46" s="1043"/>
      <c r="I46" s="1043"/>
      <c r="J46" s="1043"/>
      <c r="K46" s="1043"/>
      <c r="L46" s="1043"/>
      <c r="M46" s="1043"/>
      <c r="N46" s="1043"/>
      <c r="O46" s="1043"/>
      <c r="Q46" s="78"/>
      <c r="R46" s="78"/>
      <c r="S46" s="78"/>
      <c r="T46" s="78"/>
      <c r="U46" s="1043"/>
    </row>
    <row r="47" customFormat="false" ht="14.25" hidden="false" customHeight="false" outlineLevel="0" collapsed="false">
      <c r="A47" s="1043"/>
      <c r="B47" s="1049"/>
      <c r="C47" s="1068" t="s">
        <v>582</v>
      </c>
      <c r="D47" s="1060" t="s">
        <v>798</v>
      </c>
      <c r="E47" s="927" t="s">
        <v>799</v>
      </c>
      <c r="F47" s="1059" t="n">
        <v>8.28</v>
      </c>
      <c r="G47" s="1049"/>
      <c r="H47" s="1043"/>
      <c r="I47" s="1043"/>
      <c r="J47" s="1043"/>
      <c r="K47" s="1043"/>
      <c r="L47" s="1043"/>
      <c r="M47" s="1043"/>
      <c r="N47" s="1043"/>
      <c r="O47" s="1043"/>
      <c r="Q47" s="78"/>
      <c r="R47" s="78"/>
      <c r="S47" s="78"/>
      <c r="T47" s="78"/>
      <c r="U47" s="1043"/>
    </row>
    <row r="48" customFormat="false" ht="14.25" hidden="false" customHeight="false" outlineLevel="0" collapsed="false">
      <c r="A48" s="1043"/>
      <c r="B48" s="1049"/>
      <c r="C48" s="1068" t="s">
        <v>582</v>
      </c>
      <c r="D48" s="1060" t="s">
        <v>798</v>
      </c>
      <c r="E48" s="927" t="s">
        <v>799</v>
      </c>
      <c r="F48" s="1059" t="n">
        <v>8.28</v>
      </c>
      <c r="G48" s="1049"/>
      <c r="H48" s="1043"/>
      <c r="I48" s="1043"/>
      <c r="J48" s="1043"/>
      <c r="K48" s="1043"/>
      <c r="L48" s="1043"/>
      <c r="M48" s="1043"/>
      <c r="N48" s="1043"/>
      <c r="O48" s="1043"/>
      <c r="S48" s="78"/>
      <c r="U48" s="1043"/>
    </row>
    <row r="49" customFormat="false" ht="14.25" hidden="false" customHeight="false" outlineLevel="0" collapsed="false">
      <c r="A49" s="1043"/>
      <c r="B49" s="1049"/>
      <c r="C49" s="1068" t="s">
        <v>582</v>
      </c>
      <c r="D49" s="1060" t="s">
        <v>802</v>
      </c>
      <c r="E49" s="927" t="s">
        <v>799</v>
      </c>
      <c r="F49" s="1059" t="n">
        <v>164.97</v>
      </c>
      <c r="G49" s="1049"/>
      <c r="H49" s="1043"/>
      <c r="I49" s="1043"/>
      <c r="J49" s="1043"/>
      <c r="K49" s="1043"/>
      <c r="L49" s="1043"/>
      <c r="M49" s="1043"/>
      <c r="N49" s="1043"/>
      <c r="O49" s="1043"/>
      <c r="S49" s="78"/>
      <c r="U49" s="1043"/>
    </row>
    <row r="50" customFormat="false" ht="14.25" hidden="false" customHeight="false" outlineLevel="0" collapsed="false">
      <c r="A50" s="1043"/>
      <c r="B50" s="1049"/>
      <c r="C50" s="1068" t="s">
        <v>582</v>
      </c>
      <c r="D50" s="1060" t="s">
        <v>800</v>
      </c>
      <c r="E50" s="927" t="s">
        <v>799</v>
      </c>
      <c r="F50" s="1059" t="n">
        <v>7.99</v>
      </c>
      <c r="G50" s="1049"/>
      <c r="H50" s="1043"/>
      <c r="I50" s="1043"/>
      <c r="J50" s="1043"/>
      <c r="K50" s="1043"/>
      <c r="L50" s="1043"/>
      <c r="M50" s="1043"/>
      <c r="N50" s="1043"/>
      <c r="O50" s="1043"/>
      <c r="U50" s="1043"/>
    </row>
    <row r="51" customFormat="false" ht="14.25" hidden="false" customHeight="false" outlineLevel="0" collapsed="false">
      <c r="A51" s="1043"/>
      <c r="B51" s="1049"/>
      <c r="C51" s="1068" t="s">
        <v>582</v>
      </c>
      <c r="D51" s="1060" t="s">
        <v>801</v>
      </c>
      <c r="E51" s="927" t="s">
        <v>799</v>
      </c>
      <c r="F51" s="1059" t="n">
        <v>68.8</v>
      </c>
      <c r="G51" s="1049"/>
      <c r="H51" s="1043"/>
      <c r="I51" s="1043"/>
      <c r="J51" s="1043"/>
      <c r="K51" s="1043"/>
      <c r="L51" s="1043"/>
      <c r="M51" s="1043"/>
      <c r="N51" s="1043"/>
      <c r="O51" s="1043"/>
      <c r="U51" s="1043"/>
    </row>
    <row r="52" customFormat="false" ht="14.25" hidden="false" customHeight="false" outlineLevel="0" collapsed="false">
      <c r="A52" s="1043"/>
      <c r="B52" s="1049"/>
      <c r="C52" s="1068" t="s">
        <v>582</v>
      </c>
      <c r="D52" s="1060" t="s">
        <v>803</v>
      </c>
      <c r="E52" s="927" t="s">
        <v>799</v>
      </c>
      <c r="F52" s="1059" t="n">
        <v>35.1</v>
      </c>
      <c r="G52" s="1049"/>
      <c r="H52" s="1043"/>
      <c r="I52" s="1043"/>
      <c r="J52" s="1043"/>
      <c r="K52" s="1043"/>
      <c r="L52" s="1043"/>
      <c r="M52" s="1043"/>
      <c r="N52" s="1043"/>
      <c r="O52" s="1043"/>
      <c r="U52" s="1043"/>
    </row>
    <row r="53" customFormat="false" ht="14.25" hidden="false" customHeight="false" outlineLevel="0" collapsed="false">
      <c r="A53" s="1043"/>
      <c r="B53" s="1049"/>
      <c r="C53" s="1068" t="s">
        <v>582</v>
      </c>
      <c r="D53" s="1060" t="s">
        <v>800</v>
      </c>
      <c r="E53" s="927" t="s">
        <v>799</v>
      </c>
      <c r="F53" s="1059" t="n">
        <v>7.99</v>
      </c>
      <c r="G53" s="1049"/>
      <c r="H53" s="1043"/>
      <c r="I53" s="1043"/>
      <c r="J53" s="1043"/>
      <c r="K53" s="1043"/>
      <c r="L53" s="1043"/>
      <c r="M53" s="1043"/>
      <c r="N53" s="1043"/>
      <c r="O53" s="1043"/>
      <c r="U53" s="1043"/>
    </row>
    <row r="54" customFormat="false" ht="14.25" hidden="false" customHeight="false" outlineLevel="0" collapsed="false">
      <c r="A54" s="1043"/>
      <c r="B54" s="1049"/>
      <c r="C54" s="1068" t="s">
        <v>582</v>
      </c>
      <c r="D54" s="1061" t="s">
        <v>785</v>
      </c>
      <c r="E54" s="1071" t="s">
        <v>785</v>
      </c>
      <c r="F54" s="1058" t="n">
        <f aca="false">FreeForm!D36</f>
        <v>996.06</v>
      </c>
      <c r="G54" s="1049"/>
      <c r="H54" s="1043"/>
      <c r="I54" s="1043"/>
      <c r="J54" s="1043"/>
      <c r="K54" s="1043"/>
      <c r="L54" s="1043"/>
      <c r="M54" s="1043"/>
      <c r="N54" s="1043"/>
      <c r="O54" s="1043"/>
      <c r="U54" s="1043"/>
    </row>
    <row r="55" customFormat="false" ht="14.25" hidden="false" customHeight="false" outlineLevel="0" collapsed="false">
      <c r="A55" s="1043"/>
      <c r="B55" s="1049"/>
      <c r="C55" s="1062"/>
      <c r="D55" s="1063"/>
      <c r="E55" s="933" t="s">
        <v>804</v>
      </c>
      <c r="F55" s="1064" t="n">
        <f aca="false">SUM(F43:F54)</f>
        <v>1409.21</v>
      </c>
      <c r="G55" s="1049"/>
      <c r="H55" s="1043"/>
      <c r="I55" s="1043"/>
      <c r="J55" s="1043"/>
      <c r="K55" s="1043"/>
      <c r="L55" s="1043"/>
      <c r="M55" s="1043"/>
      <c r="N55" s="1043"/>
      <c r="O55" s="1043"/>
      <c r="U55" s="1043"/>
    </row>
    <row r="56" customFormat="false" ht="14.25" hidden="false" customHeight="false" outlineLevel="0" collapsed="false">
      <c r="A56" s="1043"/>
      <c r="B56" s="1049"/>
      <c r="C56" s="1073" t="s">
        <v>284</v>
      </c>
      <c r="D56" s="1073"/>
      <c r="E56" s="1073"/>
      <c r="F56" s="1073"/>
      <c r="G56" s="1049"/>
      <c r="H56" s="1043"/>
      <c r="I56" s="1043"/>
      <c r="J56" s="1043"/>
      <c r="K56" s="1043"/>
      <c r="L56" s="1043"/>
      <c r="M56" s="1043"/>
      <c r="N56" s="1043"/>
      <c r="O56" s="1043"/>
      <c r="U56" s="1043"/>
    </row>
    <row r="57" customFormat="false" ht="14.25" hidden="false" customHeight="false" outlineLevel="0" collapsed="false">
      <c r="A57" s="1043"/>
      <c r="B57" s="1049"/>
      <c r="C57" s="1074" t="s">
        <v>805</v>
      </c>
      <c r="D57" s="1074"/>
      <c r="E57" s="1074"/>
      <c r="F57" s="1074"/>
      <c r="G57" s="1049"/>
      <c r="H57" s="1043"/>
      <c r="I57" s="1043"/>
      <c r="J57" s="1043"/>
      <c r="K57" s="1043"/>
      <c r="L57" s="1043"/>
      <c r="M57" s="1043"/>
      <c r="N57" s="1043"/>
      <c r="O57" s="1043"/>
      <c r="U57" s="1043"/>
    </row>
    <row r="58" customFormat="false" ht="14.25" hidden="false" customHeight="false" outlineLevel="0" collapsed="false">
      <c r="A58" s="1043"/>
      <c r="B58" s="1043"/>
      <c r="C58" s="1043"/>
      <c r="D58" s="1043"/>
      <c r="E58" s="1043"/>
      <c r="F58" s="1043"/>
      <c r="G58" s="1043"/>
      <c r="H58" s="1043"/>
      <c r="I58" s="1043"/>
      <c r="J58" s="1043"/>
      <c r="K58" s="1043"/>
      <c r="L58" s="1043"/>
      <c r="M58" s="1043"/>
      <c r="N58" s="1043"/>
      <c r="O58" s="1043"/>
      <c r="U58" s="1043"/>
    </row>
    <row r="59" customFormat="false" ht="14.25" hidden="false" customHeight="false" outlineLevel="0" collapsed="false">
      <c r="A59" s="1043"/>
      <c r="B59" s="1043"/>
      <c r="C59" s="1043" t="s">
        <v>582</v>
      </c>
      <c r="D59" s="1043"/>
      <c r="E59" s="1043"/>
      <c r="F59" s="1043"/>
      <c r="G59" s="1043"/>
      <c r="H59" s="1043"/>
      <c r="I59" s="1043"/>
      <c r="J59" s="1043"/>
      <c r="K59" s="1043"/>
      <c r="L59" s="1043"/>
      <c r="M59" s="1043"/>
      <c r="N59" s="1043"/>
      <c r="O59" s="1043"/>
      <c r="U59" s="1043"/>
    </row>
    <row r="60" customFormat="false" ht="14.25" hidden="false" customHeight="false" outlineLevel="0" collapsed="false">
      <c r="A60" s="1043"/>
      <c r="B60" s="1043"/>
      <c r="C60" s="1043" t="s">
        <v>551</v>
      </c>
      <c r="D60" s="1043"/>
      <c r="E60" s="1043"/>
      <c r="F60" s="1043"/>
      <c r="G60" s="1043"/>
      <c r="H60" s="1043"/>
      <c r="I60" s="1043"/>
      <c r="J60" s="1043"/>
      <c r="K60" s="1043"/>
      <c r="L60" s="1043"/>
      <c r="M60" s="1043"/>
      <c r="N60" s="1043"/>
      <c r="O60" s="1043"/>
      <c r="U60" s="1043"/>
    </row>
    <row r="61" customFormat="false" ht="14.25" hidden="false" customHeight="false" outlineLevel="0" collapsed="false">
      <c r="A61" s="1043"/>
      <c r="B61" s="1043"/>
      <c r="C61" s="1043" t="s">
        <v>583</v>
      </c>
      <c r="D61" s="1043"/>
      <c r="E61" s="1043"/>
      <c r="F61" s="1043"/>
      <c r="G61" s="1043"/>
      <c r="H61" s="1043"/>
      <c r="I61" s="1043"/>
      <c r="J61" s="1043"/>
      <c r="K61" s="1043"/>
      <c r="L61" s="1043"/>
      <c r="M61" s="1043"/>
      <c r="N61" s="1043"/>
      <c r="O61" s="1043"/>
      <c r="U61" s="1043"/>
    </row>
    <row r="62" customFormat="false" ht="14.25" hidden="false" customHeight="false" outlineLevel="0" collapsed="false">
      <c r="A62" s="1043"/>
      <c r="B62" s="1043"/>
      <c r="C62" s="1043"/>
      <c r="D62" s="1043"/>
      <c r="E62" s="1043"/>
      <c r="F62" s="1043"/>
      <c r="G62" s="1043"/>
      <c r="H62" s="1043"/>
      <c r="I62" s="1043"/>
      <c r="J62" s="1043"/>
      <c r="K62" s="1043"/>
      <c r="L62" s="1043"/>
      <c r="M62" s="1043"/>
      <c r="N62" s="1043"/>
      <c r="O62" s="1043"/>
      <c r="U62" s="1043"/>
    </row>
    <row r="63" customFormat="false" ht="14.25" hidden="false" customHeight="false" outlineLevel="0" collapsed="false">
      <c r="A63" s="1043"/>
      <c r="B63" s="1043"/>
      <c r="C63" s="1043"/>
      <c r="D63" s="1043"/>
      <c r="E63" s="1043"/>
      <c r="F63" s="1043"/>
      <c r="G63" s="1043"/>
      <c r="H63" s="1043"/>
      <c r="I63" s="1043"/>
      <c r="J63" s="1043"/>
      <c r="K63" s="1043"/>
      <c r="L63" s="1043"/>
      <c r="M63" s="1043"/>
      <c r="N63" s="1043"/>
      <c r="O63" s="1043"/>
      <c r="U63" s="1043"/>
    </row>
    <row r="64" customFormat="false" ht="14.25" hidden="false" customHeight="false" outlineLevel="0" collapsed="false">
      <c r="A64" s="1043"/>
      <c r="B64" s="1043"/>
      <c r="C64" s="1043"/>
      <c r="D64" s="1043"/>
      <c r="E64" s="1043"/>
      <c r="F64" s="1043"/>
      <c r="G64" s="1043"/>
      <c r="H64" s="1043"/>
      <c r="I64" s="1043"/>
      <c r="J64" s="1043"/>
      <c r="K64" s="1043"/>
      <c r="L64" s="1043"/>
      <c r="M64" s="1043"/>
      <c r="N64" s="1043"/>
      <c r="O64" s="1043"/>
      <c r="U64" s="1043"/>
    </row>
    <row r="65" customFormat="false" ht="14.25" hidden="false" customHeight="false" outlineLevel="0" collapsed="false">
      <c r="A65" s="1043"/>
      <c r="B65" s="1043"/>
      <c r="C65" s="1043"/>
      <c r="D65" s="1043"/>
      <c r="E65" s="1043"/>
      <c r="F65" s="1043"/>
      <c r="G65" s="1043"/>
      <c r="H65" s="1043"/>
      <c r="I65" s="1043"/>
      <c r="J65" s="1043"/>
      <c r="K65" s="1043"/>
      <c r="L65" s="1043"/>
      <c r="M65" s="1043"/>
      <c r="N65" s="1043"/>
      <c r="O65" s="1043"/>
      <c r="U65" s="1043"/>
    </row>
    <row r="66" customFormat="false" ht="14.25" hidden="false" customHeight="false" outlineLevel="0" collapsed="false">
      <c r="A66" s="1043"/>
      <c r="B66" s="1043"/>
      <c r="C66" s="1043"/>
      <c r="D66" s="1043"/>
      <c r="E66" s="1043"/>
      <c r="F66" s="1043"/>
      <c r="G66" s="1043"/>
      <c r="H66" s="1043"/>
      <c r="I66" s="1043"/>
      <c r="J66" s="1043"/>
      <c r="K66" s="1043"/>
      <c r="L66" s="1043"/>
      <c r="M66" s="1043"/>
      <c r="N66" s="1043"/>
      <c r="O66" s="1043"/>
      <c r="U66" s="1043"/>
    </row>
    <row r="67" customFormat="false" ht="14.25" hidden="false" customHeight="false" outlineLevel="0" collapsed="false">
      <c r="A67" s="1043"/>
      <c r="B67" s="1043"/>
      <c r="C67" s="1043"/>
      <c r="D67" s="1043"/>
      <c r="E67" s="1043"/>
      <c r="F67" s="1043"/>
      <c r="G67" s="1043"/>
      <c r="H67" s="1043"/>
      <c r="I67" s="1043"/>
      <c r="J67" s="1043"/>
      <c r="K67" s="1043"/>
      <c r="L67" s="1043"/>
      <c r="M67" s="1043"/>
      <c r="N67" s="1043"/>
      <c r="O67" s="1043"/>
      <c r="U67" s="1043"/>
    </row>
    <row r="68" customFormat="false" ht="14.25" hidden="false" customHeight="false" outlineLevel="0" collapsed="false">
      <c r="A68" s="1043"/>
      <c r="B68" s="1043"/>
      <c r="C68" s="1043"/>
      <c r="D68" s="1043"/>
      <c r="E68" s="1043"/>
      <c r="F68" s="1043"/>
      <c r="G68" s="1043"/>
      <c r="H68" s="1043"/>
      <c r="I68" s="1043"/>
      <c r="J68" s="1043"/>
      <c r="K68" s="1043"/>
      <c r="L68" s="1043"/>
      <c r="M68" s="1043"/>
      <c r="N68" s="1043"/>
      <c r="O68" s="1043"/>
      <c r="U68" s="1043"/>
    </row>
    <row r="69" customFormat="false" ht="14.25" hidden="false" customHeight="false" outlineLevel="0" collapsed="false">
      <c r="A69" s="1043"/>
      <c r="B69" s="1043"/>
      <c r="C69" s="1043"/>
      <c r="D69" s="1043"/>
      <c r="E69" s="1043"/>
      <c r="F69" s="1043"/>
      <c r="G69" s="1043"/>
      <c r="H69" s="1043"/>
      <c r="I69" s="1043"/>
      <c r="J69" s="1043"/>
      <c r="K69" s="1043"/>
      <c r="L69" s="1043"/>
      <c r="M69" s="1043"/>
      <c r="N69" s="1043"/>
      <c r="O69" s="1043"/>
      <c r="U69" s="1043"/>
    </row>
    <row r="70" customFormat="false" ht="14.25" hidden="false" customHeight="false" outlineLevel="0" collapsed="false">
      <c r="A70" s="1043"/>
      <c r="B70" s="1043"/>
      <c r="C70" s="1043"/>
      <c r="D70" s="1043"/>
      <c r="E70" s="1043"/>
      <c r="F70" s="1043"/>
      <c r="G70" s="1043"/>
      <c r="H70" s="1043"/>
      <c r="I70" s="1043"/>
      <c r="J70" s="1043"/>
      <c r="K70" s="1043"/>
      <c r="L70" s="1043"/>
      <c r="M70" s="1043"/>
      <c r="N70" s="1043"/>
      <c r="O70" s="1043"/>
      <c r="U70" s="1043"/>
    </row>
  </sheetData>
  <sheetProtection algorithmName="SHA-512" hashValue="shJZqxlS6Fa8wI1sDeb6FhH/dAgu1gWkfymgqn5pn/tBems650C9Q5pjbk9BUXkrI/dMkbF/wZvY7XclNRUmeg==" saltValue="DmtunbjcP+4icvAaH4PfeA==" spinCount="100000" sheet="true" objects="true" scenarios="true"/>
  <mergeCells count="27">
    <mergeCell ref="C3:F3"/>
    <mergeCell ref="C4:F4"/>
    <mergeCell ref="C6:F6"/>
    <mergeCell ref="C8:F8"/>
    <mergeCell ref="C10:C11"/>
    <mergeCell ref="D10:E10"/>
    <mergeCell ref="F10:F11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C25:C26"/>
    <mergeCell ref="E25:E26"/>
    <mergeCell ref="F25:F26"/>
    <mergeCell ref="C41:C42"/>
    <mergeCell ref="E41:E42"/>
    <mergeCell ref="F41:F42"/>
    <mergeCell ref="C56:F56"/>
    <mergeCell ref="C57:F57"/>
  </mergeCells>
  <conditionalFormatting sqref="C43:C54 C12:C22 C27:C38">
    <cfRule type="expression" priority="2" aboveAverage="0" equalAverage="0" bottom="0" percent="0" rank="0" text="" dxfId="34">
      <formula>AND($F12&lt;&gt;0,ISBLANK($C12))</formula>
    </cfRule>
  </conditionalFormatting>
  <conditionalFormatting sqref="F12:F22 F27:F38 F43:F54">
    <cfRule type="cellIs" priority="3" operator="lessThan" aboveAverage="0" equalAverage="0" bottom="0" percent="0" rank="0" text="" dxfId="35">
      <formula>0</formula>
    </cfRule>
  </conditionalFormatting>
  <dataValidations count="2">
    <dataValidation allowBlank="true" error="Use the drop down box." errorStyle="stop" operator="between" showDropDown="false" showErrorMessage="true" showInputMessage="true" sqref="C27:C38 C43:C54" type="list">
      <formula1>$C$59:$C$61</formula1>
      <formula2>0</formula2>
    </dataValidation>
    <dataValidation allowBlank="true" error="Enter a dollar amount." errorStyle="stop" operator="greaterThanOrEqual" showDropDown="false" showErrorMessage="true" showInputMessage="true" sqref="F12:F22 F27:F38 F43:F54" type="decimal">
      <formula1>-99999999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69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P13" activeCellId="0" sqref="P13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3" min="1" style="1" width="3.62"/>
    <col collapsed="false" customWidth="true" hidden="false" outlineLevel="0" max="4" min="4" style="1" width="45.62"/>
    <col collapsed="false" customWidth="true" hidden="false" outlineLevel="0" max="5" min="5" style="1" width="30.38"/>
    <col collapsed="false" customWidth="true" hidden="false" outlineLevel="0" max="6" min="6" style="1" width="12.75"/>
    <col collapsed="false" customWidth="true" hidden="false" outlineLevel="0" max="7" min="7" style="1" width="12"/>
    <col collapsed="false" customWidth="true" hidden="false" outlineLevel="0" max="8" min="8" style="1" width="20.62"/>
    <col collapsed="false" customWidth="true" hidden="false" outlineLevel="0" max="9" min="9" style="1" width="15.62"/>
    <col collapsed="false" customWidth="true" hidden="false" outlineLevel="0" max="11" min="10" style="1" width="3.62"/>
    <col collapsed="false" customWidth="false" hidden="true" outlineLevel="0" max="15" min="12" style="1" width="9.1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1042"/>
      <c r="B1" s="1043"/>
      <c r="C1" s="1043"/>
      <c r="D1" s="1043"/>
      <c r="E1" s="1043"/>
      <c r="F1" s="1043"/>
      <c r="G1" s="1043"/>
      <c r="H1" s="1043"/>
      <c r="I1" s="1043"/>
      <c r="J1" s="1043"/>
      <c r="K1" s="1043"/>
      <c r="L1" s="1043"/>
      <c r="M1" s="1043"/>
      <c r="N1" s="1043"/>
      <c r="O1" s="104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1043"/>
      <c r="V1" s="1043"/>
    </row>
    <row r="2" customFormat="false" ht="14.25" hidden="false" customHeight="false" outlineLevel="0" collapsed="false">
      <c r="A2" s="1043"/>
      <c r="B2" s="1049"/>
      <c r="C2" s="81" t="str">
        <f aca="false">Contents!B59</f>
        <v>Version: AS L 6 LARGE locked LOCAL</v>
      </c>
      <c r="D2" s="1075"/>
      <c r="E2" s="1075"/>
      <c r="F2" s="1075"/>
      <c r="G2" s="1075"/>
      <c r="H2" s="1049"/>
      <c r="I2" s="1049"/>
      <c r="J2" s="1049"/>
      <c r="K2" s="1043"/>
      <c r="L2" s="1043"/>
      <c r="M2" s="1043"/>
      <c r="N2" s="1043"/>
      <c r="O2" s="1043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1043"/>
      <c r="V2" s="1043"/>
    </row>
    <row r="3" customFormat="false" ht="14.25" hidden="false" customHeight="false" outlineLevel="0" collapsed="false">
      <c r="A3" s="1046"/>
      <c r="B3" s="1048" t="str">
        <f aca="false">Contents!$E$3</f>
        <v>THE SOCIETY FOR CREATIVE ANACHRONISM, INC.</v>
      </c>
      <c r="C3" s="1048"/>
      <c r="D3" s="1048"/>
      <c r="E3" s="1048"/>
      <c r="F3" s="1048"/>
      <c r="G3" s="1048"/>
      <c r="H3" s="1048"/>
      <c r="I3" s="1048"/>
      <c r="J3" s="1048"/>
      <c r="K3" s="1043"/>
      <c r="L3" s="1043"/>
      <c r="M3" s="1043"/>
      <c r="N3" s="1043"/>
      <c r="O3" s="1043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1046"/>
      <c r="V3" s="1046"/>
    </row>
    <row r="4" customFormat="false" ht="14.25" hidden="false" customHeight="false" outlineLevel="0" collapsed="false">
      <c r="A4" s="1043"/>
      <c r="B4" s="1048" t="str">
        <f aca="false">Contents!$E$4</f>
        <v>FINANCIAL REPORT</v>
      </c>
      <c r="C4" s="1048"/>
      <c r="D4" s="1048"/>
      <c r="E4" s="1048"/>
      <c r="F4" s="1048"/>
      <c r="G4" s="1048"/>
      <c r="H4" s="1048"/>
      <c r="I4" s="1048"/>
      <c r="J4" s="1048"/>
      <c r="K4" s="1043"/>
      <c r="L4" s="1043"/>
      <c r="M4" s="1043"/>
      <c r="N4" s="1043"/>
      <c r="O4" s="104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1043"/>
      <c r="V4" s="1043"/>
    </row>
    <row r="5" customFormat="false" ht="14.25" hidden="false" customHeight="false" outlineLevel="0" collapsed="false">
      <c r="A5" s="1043"/>
      <c r="B5" s="1049"/>
      <c r="C5" s="1049"/>
      <c r="D5" s="1049"/>
      <c r="E5" s="1049"/>
      <c r="F5" s="1049"/>
      <c r="G5" s="1049"/>
      <c r="H5" s="1049"/>
      <c r="I5" s="1049"/>
      <c r="J5" s="1049"/>
      <c r="K5" s="1043"/>
      <c r="L5" s="1043"/>
      <c r="M5" s="1043"/>
      <c r="N5" s="1043"/>
      <c r="O5" s="104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1043"/>
      <c r="V5" s="1043"/>
    </row>
    <row r="6" customFormat="false" ht="14.25" hidden="false" customHeight="false" outlineLevel="0" collapsed="false">
      <c r="A6" s="1044"/>
      <c r="B6" s="1050" t="str">
        <f aca="false">Contents!B58</f>
        <v>Branch:   SCA, Inc.- Middle Kingdom                                               Period:  1/01/2025             to     12/31/2025            .</v>
      </c>
      <c r="C6" s="1050"/>
      <c r="D6" s="1050"/>
      <c r="E6" s="1050"/>
      <c r="F6" s="1050"/>
      <c r="G6" s="1050"/>
      <c r="H6" s="1050"/>
      <c r="I6" s="1050"/>
      <c r="J6" s="1050"/>
      <c r="K6" s="1044"/>
      <c r="L6" s="1044"/>
      <c r="M6" s="1044"/>
      <c r="N6" s="1044"/>
      <c r="O6" s="1044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1044"/>
      <c r="V6" s="1044"/>
    </row>
    <row r="7" customFormat="false" ht="14.25" hidden="false" customHeight="false" outlineLevel="0" collapsed="false">
      <c r="A7" s="1043"/>
      <c r="B7" s="1045"/>
      <c r="C7" s="1045"/>
      <c r="D7" s="1045"/>
      <c r="E7" s="1045"/>
      <c r="F7" s="1045"/>
      <c r="G7" s="1045"/>
      <c r="H7" s="1045"/>
      <c r="I7" s="1045"/>
      <c r="J7" s="1045"/>
      <c r="K7" s="1043"/>
      <c r="L7" s="1043"/>
      <c r="M7" s="1043"/>
      <c r="N7" s="1043"/>
      <c r="O7" s="104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1043"/>
      <c r="V7" s="1043"/>
    </row>
    <row r="8" customFormat="false" ht="14.25" hidden="false" customHeight="true" outlineLevel="0" collapsed="false">
      <c r="A8" s="1044"/>
      <c r="B8" s="1051" t="s">
        <v>806</v>
      </c>
      <c r="C8" s="1051"/>
      <c r="D8" s="1051"/>
      <c r="E8" s="1051"/>
      <c r="F8" s="1051"/>
      <c r="G8" s="1051"/>
      <c r="H8" s="1051"/>
      <c r="I8" s="1051"/>
      <c r="J8" s="1051"/>
      <c r="K8" s="1044"/>
      <c r="L8" s="1044"/>
      <c r="M8" s="1044"/>
      <c r="N8" s="1044"/>
      <c r="O8" s="1044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1044"/>
      <c r="V8" s="1044"/>
    </row>
    <row r="9" customFormat="false" ht="14.25" hidden="false" customHeight="false" outlineLevel="0" collapsed="false">
      <c r="A9" s="1043"/>
      <c r="B9" s="1045"/>
      <c r="C9" s="1045"/>
      <c r="D9" s="1045"/>
      <c r="E9" s="1045"/>
      <c r="F9" s="1045"/>
      <c r="G9" s="1045"/>
      <c r="H9" s="1045"/>
      <c r="I9" s="1045"/>
      <c r="J9" s="1045"/>
      <c r="K9" s="1043"/>
      <c r="L9" s="1043"/>
      <c r="M9" s="1043"/>
      <c r="N9" s="1043"/>
      <c r="O9" s="1043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1043"/>
      <c r="V9" s="1043"/>
    </row>
    <row r="10" customFormat="false" ht="14.25" hidden="false" customHeight="false" outlineLevel="0" collapsed="false">
      <c r="A10" s="1043"/>
      <c r="B10" s="1049"/>
      <c r="C10" s="1076"/>
      <c r="D10" s="1053" t="s">
        <v>807</v>
      </c>
      <c r="E10" s="1077"/>
      <c r="F10" s="1077"/>
      <c r="G10" s="1078" t="s">
        <v>588</v>
      </c>
      <c r="H10" s="1079" t="s">
        <v>589</v>
      </c>
      <c r="I10" s="1080" t="s">
        <v>416</v>
      </c>
      <c r="J10" s="1049"/>
      <c r="K10" s="1043"/>
      <c r="L10" s="1043"/>
      <c r="M10" s="1043"/>
      <c r="N10" s="1043"/>
      <c r="O10" s="1043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043"/>
      <c r="V10" s="1043"/>
    </row>
    <row r="11" customFormat="false" ht="14.25" hidden="false" customHeight="false" outlineLevel="0" collapsed="false">
      <c r="A11" s="1043"/>
      <c r="B11" s="1049"/>
      <c r="C11" s="1076"/>
      <c r="D11" s="1055" t="s">
        <v>794</v>
      </c>
      <c r="E11" s="1081"/>
      <c r="F11" s="1081"/>
      <c r="G11" s="1078"/>
      <c r="H11" s="1079"/>
      <c r="I11" s="1080"/>
      <c r="J11" s="1049"/>
      <c r="K11" s="1043"/>
      <c r="L11" s="1043"/>
      <c r="M11" s="1043"/>
      <c r="N11" s="1043"/>
      <c r="O11" s="1043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043"/>
      <c r="V11" s="1043"/>
    </row>
    <row r="12" customFormat="false" ht="14.25" hidden="false" customHeight="false" outlineLevel="0" collapsed="false">
      <c r="A12" s="1043"/>
      <c r="B12" s="1049"/>
      <c r="C12" s="1082" t="s">
        <v>551</v>
      </c>
      <c r="D12" s="1057"/>
      <c r="E12" s="1057"/>
      <c r="F12" s="1057"/>
      <c r="G12" s="1057"/>
      <c r="H12" s="1070"/>
      <c r="I12" s="1058"/>
      <c r="J12" s="1049"/>
      <c r="K12" s="1043"/>
      <c r="L12" s="1043"/>
      <c r="M12" s="1043"/>
      <c r="N12" s="1043"/>
      <c r="O12" s="1043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043"/>
      <c r="V12" s="1043"/>
    </row>
    <row r="13" customFormat="false" ht="14.25" hidden="false" customHeight="false" outlineLevel="0" collapsed="false">
      <c r="A13" s="1043"/>
      <c r="B13" s="1049"/>
      <c r="C13" s="1083" t="s">
        <v>551</v>
      </c>
      <c r="D13" s="927"/>
      <c r="E13" s="927"/>
      <c r="F13" s="927"/>
      <c r="G13" s="927"/>
      <c r="H13" s="927"/>
      <c r="I13" s="1059"/>
      <c r="J13" s="1049"/>
      <c r="K13" s="1043"/>
      <c r="L13" s="1043"/>
      <c r="M13" s="1043"/>
      <c r="N13" s="1043"/>
      <c r="O13" s="1043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043"/>
      <c r="V13" s="1043"/>
    </row>
    <row r="14" customFormat="false" ht="14.25" hidden="false" customHeight="false" outlineLevel="0" collapsed="false">
      <c r="A14" s="1043"/>
      <c r="B14" s="1049"/>
      <c r="C14" s="1083" t="s">
        <v>551</v>
      </c>
      <c r="D14" s="1060"/>
      <c r="E14" s="1060"/>
      <c r="F14" s="1060"/>
      <c r="G14" s="1060"/>
      <c r="H14" s="927"/>
      <c r="I14" s="1059"/>
      <c r="J14" s="1049"/>
      <c r="K14" s="1043"/>
      <c r="L14" s="1043"/>
      <c r="M14" s="1043"/>
      <c r="N14" s="1043"/>
      <c r="O14" s="1043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043"/>
      <c r="V14" s="1043"/>
    </row>
    <row r="15" customFormat="false" ht="14.25" hidden="false" customHeight="false" outlineLevel="0" collapsed="false">
      <c r="A15" s="1043"/>
      <c r="B15" s="1049"/>
      <c r="C15" s="1084" t="s">
        <v>551</v>
      </c>
      <c r="D15" s="1061"/>
      <c r="E15" s="1061"/>
      <c r="F15" s="1061"/>
      <c r="G15" s="1061"/>
      <c r="H15" s="1071"/>
      <c r="I15" s="1058"/>
      <c r="J15" s="1049"/>
      <c r="K15" s="1043"/>
      <c r="L15" s="1043"/>
      <c r="M15" s="1043"/>
      <c r="N15" s="1043"/>
      <c r="O15" s="1043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043"/>
      <c r="V15" s="1043"/>
    </row>
    <row r="16" customFormat="false" ht="14.25" hidden="false" customHeight="false" outlineLevel="0" collapsed="false">
      <c r="A16" s="1043"/>
      <c r="B16" s="1049"/>
      <c r="C16" s="1062"/>
      <c r="D16" s="1063"/>
      <c r="E16" s="1063"/>
      <c r="F16" s="1063"/>
      <c r="G16" s="1063"/>
      <c r="H16" s="933" t="s">
        <v>808</v>
      </c>
      <c r="I16" s="1064" t="n">
        <f aca="false">SUM(I12:I15)</f>
        <v>0</v>
      </c>
      <c r="J16" s="1049"/>
      <c r="K16" s="1043"/>
      <c r="L16" s="1043"/>
      <c r="M16" s="1043"/>
      <c r="N16" s="1043"/>
      <c r="O16" s="1043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1043"/>
      <c r="V16" s="1043"/>
    </row>
    <row r="17" customFormat="false" ht="14.25" hidden="false" customHeight="false" outlineLevel="0" collapsed="false">
      <c r="A17" s="1043"/>
      <c r="B17" s="1049"/>
      <c r="C17" s="1049"/>
      <c r="D17" s="1049"/>
      <c r="E17" s="1049"/>
      <c r="F17" s="1049"/>
      <c r="G17" s="1049"/>
      <c r="H17" s="954"/>
      <c r="I17" s="1085"/>
      <c r="J17" s="1049"/>
      <c r="K17" s="1043"/>
      <c r="L17" s="1043"/>
      <c r="M17" s="1043"/>
      <c r="N17" s="1043"/>
      <c r="O17" s="104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1043"/>
      <c r="V17" s="1043"/>
    </row>
    <row r="18" customFormat="false" ht="14.25" hidden="false" customHeight="false" outlineLevel="0" collapsed="false">
      <c r="A18" s="1043"/>
      <c r="B18" s="1049"/>
      <c r="C18" s="1086" t="s">
        <v>809</v>
      </c>
      <c r="D18" s="1086"/>
      <c r="E18" s="1086"/>
      <c r="F18" s="1086"/>
      <c r="G18" s="1086"/>
      <c r="H18" s="1086"/>
      <c r="I18" s="1086"/>
      <c r="J18" s="1049"/>
      <c r="K18" s="1043"/>
      <c r="L18" s="1043"/>
      <c r="M18" s="1043"/>
      <c r="N18" s="1043"/>
      <c r="O18" s="1043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1043"/>
      <c r="V18" s="1043"/>
    </row>
    <row r="19" customFormat="false" ht="14.25" hidden="false" customHeight="false" outlineLevel="0" collapsed="false">
      <c r="A19" s="1044"/>
      <c r="B19" s="1049"/>
      <c r="C19" s="1087" t="s">
        <v>810</v>
      </c>
      <c r="D19" s="1088"/>
      <c r="E19" s="1088"/>
      <c r="F19" s="1088"/>
      <c r="G19" s="1088"/>
      <c r="H19" s="1089" t="s">
        <v>811</v>
      </c>
      <c r="I19" s="1054" t="s">
        <v>416</v>
      </c>
      <c r="J19" s="1049"/>
      <c r="K19" s="1044"/>
      <c r="L19" s="1044"/>
      <c r="M19" s="1044"/>
      <c r="N19" s="1044"/>
      <c r="O19" s="1044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1044"/>
      <c r="V19" s="1044"/>
    </row>
    <row r="20" customFormat="false" ht="14.25" hidden="false" customHeight="false" outlineLevel="0" collapsed="false">
      <c r="A20" s="1043"/>
      <c r="B20" s="1049"/>
      <c r="C20" s="1090" t="s">
        <v>423</v>
      </c>
      <c r="D20" s="1090"/>
      <c r="E20" s="1090"/>
      <c r="F20" s="1090"/>
      <c r="G20" s="1090"/>
      <c r="H20" s="1089"/>
      <c r="I20" s="1054"/>
      <c r="J20" s="1049"/>
      <c r="K20" s="1043"/>
      <c r="L20" s="1043"/>
      <c r="M20" s="1043"/>
      <c r="N20" s="1043"/>
      <c r="O20" s="1043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1043"/>
      <c r="V20" s="1043"/>
    </row>
    <row r="21" customFormat="false" ht="14.25" hidden="false" customHeight="false" outlineLevel="0" collapsed="false">
      <c r="A21" s="1043"/>
      <c r="B21" s="1049"/>
      <c r="C21" s="1091"/>
      <c r="D21" s="1091"/>
      <c r="E21" s="1091"/>
      <c r="F21" s="1091"/>
      <c r="G21" s="1091"/>
      <c r="H21" s="1070"/>
      <c r="I21" s="1058"/>
      <c r="J21" s="1049"/>
      <c r="K21" s="1043"/>
      <c r="L21" s="1043"/>
      <c r="M21" s="1043"/>
      <c r="N21" s="1043"/>
      <c r="O21" s="1043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1043"/>
      <c r="V21" s="1043"/>
    </row>
    <row r="22" customFormat="false" ht="14.25" hidden="false" customHeight="false" outlineLevel="0" collapsed="false">
      <c r="A22" s="1043"/>
      <c r="B22" s="1049"/>
      <c r="C22" s="1092"/>
      <c r="D22" s="1092"/>
      <c r="E22" s="1092"/>
      <c r="F22" s="1092"/>
      <c r="G22" s="1092"/>
      <c r="H22" s="927"/>
      <c r="I22" s="1059"/>
      <c r="J22" s="1049"/>
      <c r="K22" s="1043"/>
      <c r="L22" s="1043"/>
      <c r="M22" s="1043"/>
      <c r="N22" s="1043"/>
      <c r="O22" s="1043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1043"/>
      <c r="V22" s="1043"/>
    </row>
    <row r="23" customFormat="false" ht="14.25" hidden="false" customHeight="false" outlineLevel="0" collapsed="false">
      <c r="A23" s="1043"/>
      <c r="B23" s="1049"/>
      <c r="C23" s="1092"/>
      <c r="D23" s="1092"/>
      <c r="E23" s="1092"/>
      <c r="F23" s="1092"/>
      <c r="G23" s="1092"/>
      <c r="H23" s="927"/>
      <c r="I23" s="1059"/>
      <c r="J23" s="1049"/>
      <c r="K23" s="1043"/>
      <c r="L23" s="1043"/>
      <c r="M23" s="1043"/>
      <c r="N23" s="1043"/>
      <c r="O23" s="1043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1043"/>
      <c r="V23" s="1043"/>
    </row>
    <row r="24" customFormat="false" ht="14.25" hidden="false" customHeight="false" outlineLevel="0" collapsed="false">
      <c r="A24" s="1043"/>
      <c r="B24" s="1049"/>
      <c r="C24" s="1092"/>
      <c r="D24" s="1092"/>
      <c r="E24" s="1092"/>
      <c r="F24" s="1092"/>
      <c r="G24" s="1092"/>
      <c r="H24" s="927"/>
      <c r="I24" s="1059"/>
      <c r="J24" s="1049"/>
      <c r="K24" s="1043"/>
      <c r="L24" s="1043"/>
      <c r="M24" s="1043"/>
      <c r="N24" s="1043"/>
      <c r="O24" s="1043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1043"/>
      <c r="V24" s="1043"/>
    </row>
    <row r="25" customFormat="false" ht="14.25" hidden="false" customHeight="false" outlineLevel="0" collapsed="false">
      <c r="A25" s="1043"/>
      <c r="B25" s="1049"/>
      <c r="C25" s="1092"/>
      <c r="D25" s="1092"/>
      <c r="E25" s="1092"/>
      <c r="F25" s="1092"/>
      <c r="G25" s="1092"/>
      <c r="H25" s="927"/>
      <c r="I25" s="1059"/>
      <c r="J25" s="1049"/>
      <c r="K25" s="1043"/>
      <c r="L25" s="1043"/>
      <c r="M25" s="1043"/>
      <c r="N25" s="1043"/>
      <c r="O25" s="1043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1043"/>
      <c r="V25" s="1043"/>
    </row>
    <row r="26" customFormat="false" ht="14.25" hidden="false" customHeight="false" outlineLevel="0" collapsed="false">
      <c r="A26" s="1043"/>
      <c r="B26" s="1049"/>
      <c r="C26" s="1093"/>
      <c r="D26" s="1093"/>
      <c r="E26" s="1093"/>
      <c r="F26" s="1093"/>
      <c r="G26" s="1093"/>
      <c r="H26" s="1071"/>
      <c r="I26" s="1058"/>
      <c r="J26" s="1049"/>
      <c r="K26" s="1043"/>
      <c r="L26" s="1043"/>
      <c r="M26" s="1043"/>
      <c r="N26" s="1043"/>
      <c r="O26" s="1043"/>
      <c r="P26" s="79" t="s">
        <v>174</v>
      </c>
      <c r="Q26" s="78"/>
      <c r="R26" s="78"/>
      <c r="S26" s="79" t="s">
        <v>83</v>
      </c>
      <c r="T26" s="79" t="s">
        <v>174</v>
      </c>
      <c r="U26" s="1043"/>
      <c r="V26" s="1043"/>
    </row>
    <row r="27" customFormat="false" ht="14.25" hidden="false" customHeight="false" outlineLevel="0" collapsed="false">
      <c r="A27" s="1043"/>
      <c r="B27" s="1049"/>
      <c r="C27" s="1062"/>
      <c r="D27" s="1063"/>
      <c r="E27" s="1063"/>
      <c r="F27" s="1063"/>
      <c r="G27" s="1063"/>
      <c r="H27" s="933" t="s">
        <v>812</v>
      </c>
      <c r="I27" s="1064" t="n">
        <f aca="false">SUM(I21:I26)</f>
        <v>0</v>
      </c>
      <c r="J27" s="1049"/>
      <c r="K27" s="1043"/>
      <c r="L27" s="1043"/>
      <c r="M27" s="1043"/>
      <c r="N27" s="1043"/>
      <c r="O27" s="1043"/>
      <c r="P27" s="79" t="s">
        <v>177</v>
      </c>
      <c r="Q27" s="78"/>
      <c r="R27" s="78"/>
      <c r="S27" s="79" t="s">
        <v>85</v>
      </c>
      <c r="T27" s="79" t="s">
        <v>76</v>
      </c>
      <c r="U27" s="1043"/>
      <c r="V27" s="1043"/>
    </row>
    <row r="28" customFormat="false" ht="14.25" hidden="false" customHeight="false" outlineLevel="0" collapsed="false">
      <c r="A28" s="1043"/>
      <c r="B28" s="1049"/>
      <c r="C28" s="1045"/>
      <c r="D28" s="1072"/>
      <c r="E28" s="1072"/>
      <c r="F28" s="1072"/>
      <c r="G28" s="1072"/>
      <c r="H28" s="1045"/>
      <c r="I28" s="1045"/>
      <c r="J28" s="1049"/>
      <c r="K28" s="1043"/>
      <c r="L28" s="1043"/>
      <c r="M28" s="1043"/>
      <c r="N28" s="1043"/>
      <c r="O28" s="1043"/>
      <c r="P28" s="79" t="s">
        <v>178</v>
      </c>
      <c r="Q28" s="78"/>
      <c r="R28" s="78"/>
      <c r="S28" s="79" t="s">
        <v>86</v>
      </c>
      <c r="T28" s="79" t="s">
        <v>78</v>
      </c>
      <c r="U28" s="1043"/>
      <c r="V28" s="1043"/>
    </row>
    <row r="29" customFormat="false" ht="14.25" hidden="false" customHeight="true" outlineLevel="0" collapsed="false">
      <c r="A29" s="1043"/>
      <c r="B29" s="1049"/>
      <c r="C29" s="1094" t="s">
        <v>813</v>
      </c>
      <c r="D29" s="1094"/>
      <c r="E29" s="1095" t="s">
        <v>423</v>
      </c>
      <c r="F29" s="1095" t="s">
        <v>588</v>
      </c>
      <c r="G29" s="1095" t="s">
        <v>589</v>
      </c>
      <c r="H29" s="1096" t="s">
        <v>814</v>
      </c>
      <c r="I29" s="1097" t="s">
        <v>416</v>
      </c>
      <c r="J29" s="1049"/>
      <c r="K29" s="1043"/>
      <c r="L29" s="1043"/>
      <c r="M29" s="1043"/>
      <c r="N29" s="1043"/>
      <c r="O29" s="1043"/>
      <c r="P29" s="79" t="s">
        <v>179</v>
      </c>
      <c r="Q29" s="78"/>
      <c r="R29" s="78"/>
      <c r="S29" s="79" t="s">
        <v>87</v>
      </c>
      <c r="T29" s="79" t="s">
        <v>79</v>
      </c>
      <c r="U29" s="1043"/>
      <c r="V29" s="1043"/>
    </row>
    <row r="30" customFormat="false" ht="14.25" hidden="false" customHeight="false" outlineLevel="0" collapsed="false">
      <c r="A30" s="1043"/>
      <c r="B30" s="1049"/>
      <c r="C30" s="1098" t="s">
        <v>815</v>
      </c>
      <c r="D30" s="1098"/>
      <c r="E30" s="1095"/>
      <c r="F30" s="1095"/>
      <c r="G30" s="1095"/>
      <c r="H30" s="1096"/>
      <c r="I30" s="1097"/>
      <c r="J30" s="1049"/>
      <c r="K30" s="1043"/>
      <c r="L30" s="1043"/>
      <c r="M30" s="1043"/>
      <c r="N30" s="1043"/>
      <c r="O30" s="1043"/>
      <c r="P30" s="79" t="s">
        <v>180</v>
      </c>
      <c r="Q30" s="78"/>
      <c r="R30" s="78"/>
      <c r="S30" s="79" t="s">
        <v>91</v>
      </c>
      <c r="T30" s="79" t="s">
        <v>81</v>
      </c>
      <c r="U30" s="1043"/>
      <c r="V30" s="1043"/>
    </row>
    <row r="31" customFormat="false" ht="14.25" hidden="false" customHeight="true" outlineLevel="0" collapsed="false">
      <c r="A31" s="1043"/>
      <c r="B31" s="1049"/>
      <c r="C31" s="1099" t="s">
        <v>816</v>
      </c>
      <c r="D31" s="1099"/>
      <c r="E31" s="1100" t="s">
        <v>817</v>
      </c>
      <c r="F31" s="1100" t="s">
        <v>818</v>
      </c>
      <c r="G31" s="940" t="s">
        <v>819</v>
      </c>
      <c r="H31" s="1101"/>
      <c r="I31" s="1058" t="n">
        <v>5.69</v>
      </c>
      <c r="J31" s="1049"/>
      <c r="K31" s="1043"/>
      <c r="L31" s="1043"/>
      <c r="M31" s="1043"/>
      <c r="N31" s="1043"/>
      <c r="O31" s="1043"/>
      <c r="P31" s="79" t="s">
        <v>181</v>
      </c>
      <c r="Q31" s="78"/>
      <c r="R31" s="78"/>
      <c r="S31" s="78"/>
      <c r="T31" s="79" t="s">
        <v>83</v>
      </c>
      <c r="U31" s="1043"/>
      <c r="V31" s="1043"/>
    </row>
    <row r="32" customFormat="false" ht="14.25" hidden="false" customHeight="true" outlineLevel="0" collapsed="false">
      <c r="A32" s="1043"/>
      <c r="B32" s="1049"/>
      <c r="C32" s="1102" t="s">
        <v>820</v>
      </c>
      <c r="D32" s="1102"/>
      <c r="E32" s="1103" t="s">
        <v>817</v>
      </c>
      <c r="F32" s="1103" t="s">
        <v>821</v>
      </c>
      <c r="G32" s="1104" t="s">
        <v>819</v>
      </c>
      <c r="H32" s="1105"/>
      <c r="I32" s="1059" t="n">
        <v>68.51</v>
      </c>
      <c r="J32" s="1049"/>
      <c r="K32" s="1043"/>
      <c r="L32" s="1043"/>
      <c r="M32" s="1043"/>
      <c r="N32" s="1043"/>
      <c r="O32" s="1043"/>
      <c r="P32" s="79" t="s">
        <v>76</v>
      </c>
      <c r="Q32" s="78"/>
      <c r="R32" s="78"/>
      <c r="S32" s="78"/>
      <c r="T32" s="79" t="s">
        <v>85</v>
      </c>
      <c r="U32" s="1043"/>
      <c r="V32" s="1043"/>
    </row>
    <row r="33" customFormat="false" ht="14.25" hidden="false" customHeight="false" outlineLevel="0" collapsed="false">
      <c r="A33" s="1043"/>
      <c r="B33" s="1049"/>
      <c r="C33" s="1102"/>
      <c r="D33" s="1102"/>
      <c r="E33" s="1103"/>
      <c r="F33" s="1103"/>
      <c r="G33" s="1104"/>
      <c r="H33" s="1105"/>
      <c r="I33" s="1059"/>
      <c r="J33" s="1049"/>
      <c r="K33" s="1043"/>
      <c r="L33" s="1043"/>
      <c r="M33" s="1043"/>
      <c r="N33" s="1043"/>
      <c r="O33" s="1043"/>
      <c r="P33" s="79" t="s">
        <v>78</v>
      </c>
      <c r="Q33" s="78"/>
      <c r="R33" s="78"/>
      <c r="S33" s="78"/>
      <c r="T33" s="79" t="s">
        <v>86</v>
      </c>
      <c r="U33" s="1043"/>
      <c r="V33" s="1043"/>
    </row>
    <row r="34" customFormat="false" ht="14.25" hidden="false" customHeight="false" outlineLevel="0" collapsed="false">
      <c r="A34" s="1043"/>
      <c r="B34" s="1049"/>
      <c r="C34" s="1102"/>
      <c r="D34" s="1102"/>
      <c r="E34" s="1103"/>
      <c r="F34" s="1103"/>
      <c r="G34" s="1104"/>
      <c r="H34" s="1105"/>
      <c r="I34" s="1059"/>
      <c r="J34" s="1049"/>
      <c r="K34" s="1043"/>
      <c r="L34" s="1043"/>
      <c r="M34" s="1043"/>
      <c r="N34" s="1043"/>
      <c r="O34" s="1043"/>
      <c r="P34" s="79" t="s">
        <v>79</v>
      </c>
      <c r="Q34" s="78"/>
      <c r="R34" s="78"/>
      <c r="S34" s="78"/>
      <c r="T34" s="79" t="s">
        <v>87</v>
      </c>
      <c r="U34" s="1043"/>
      <c r="V34" s="1043"/>
    </row>
    <row r="35" customFormat="false" ht="14.25" hidden="false" customHeight="false" outlineLevel="0" collapsed="false">
      <c r="A35" s="1043"/>
      <c r="B35" s="1049"/>
      <c r="C35" s="1102"/>
      <c r="D35" s="1102"/>
      <c r="E35" s="1103"/>
      <c r="F35" s="1103"/>
      <c r="G35" s="1104"/>
      <c r="H35" s="1105"/>
      <c r="I35" s="1059"/>
      <c r="J35" s="1049"/>
      <c r="K35" s="1043"/>
      <c r="L35" s="1043"/>
      <c r="M35" s="1043"/>
      <c r="N35" s="1043"/>
      <c r="O35" s="1043"/>
      <c r="P35" s="79" t="s">
        <v>81</v>
      </c>
      <c r="Q35" s="78"/>
      <c r="R35" s="78"/>
      <c r="S35" s="78"/>
      <c r="T35" s="79" t="s">
        <v>89</v>
      </c>
      <c r="U35" s="1043"/>
      <c r="V35" s="1043"/>
    </row>
    <row r="36" customFormat="false" ht="14.25" hidden="false" customHeight="false" outlineLevel="0" collapsed="false">
      <c r="A36" s="1043"/>
      <c r="B36" s="1049"/>
      <c r="C36" s="1102"/>
      <c r="D36" s="1102"/>
      <c r="E36" s="1103"/>
      <c r="F36" s="1103"/>
      <c r="G36" s="1104"/>
      <c r="H36" s="1105"/>
      <c r="I36" s="1059"/>
      <c r="J36" s="1049"/>
      <c r="K36" s="1043"/>
      <c r="L36" s="1043"/>
      <c r="M36" s="1043"/>
      <c r="N36" s="1043"/>
      <c r="O36" s="1043"/>
      <c r="P36" s="79" t="s">
        <v>83</v>
      </c>
      <c r="Q36" s="78"/>
      <c r="R36" s="78"/>
      <c r="S36" s="78"/>
      <c r="T36" s="79" t="s">
        <v>90</v>
      </c>
      <c r="U36" s="1043"/>
      <c r="V36" s="1043"/>
    </row>
    <row r="37" customFormat="false" ht="14.25" hidden="false" customHeight="false" outlineLevel="0" collapsed="false">
      <c r="A37" s="1043"/>
      <c r="B37" s="1049"/>
      <c r="C37" s="1102"/>
      <c r="D37" s="1102"/>
      <c r="E37" s="1103"/>
      <c r="F37" s="1103"/>
      <c r="G37" s="1104"/>
      <c r="H37" s="1105"/>
      <c r="I37" s="1059"/>
      <c r="J37" s="1049"/>
      <c r="K37" s="1043"/>
      <c r="L37" s="1043"/>
      <c r="M37" s="1043"/>
      <c r="N37" s="1043"/>
      <c r="O37" s="1043"/>
      <c r="P37" s="79" t="s">
        <v>85</v>
      </c>
      <c r="Q37" s="78"/>
      <c r="R37" s="78"/>
      <c r="S37" s="78"/>
      <c r="T37" s="79" t="s">
        <v>192</v>
      </c>
      <c r="U37" s="1043"/>
      <c r="V37" s="1043"/>
    </row>
    <row r="38" customFormat="false" ht="14.25" hidden="false" customHeight="false" outlineLevel="0" collapsed="false">
      <c r="A38" s="1044"/>
      <c r="B38" s="1049"/>
      <c r="C38" s="1102"/>
      <c r="D38" s="1102"/>
      <c r="E38" s="1103"/>
      <c r="F38" s="1103"/>
      <c r="G38" s="1104"/>
      <c r="H38" s="1105"/>
      <c r="I38" s="1059"/>
      <c r="J38" s="1049"/>
      <c r="K38" s="1044"/>
      <c r="L38" s="1044"/>
      <c r="M38" s="1044"/>
      <c r="N38" s="1044"/>
      <c r="O38" s="1044"/>
      <c r="P38" s="79" t="s">
        <v>86</v>
      </c>
      <c r="Q38" s="78"/>
      <c r="R38" s="78"/>
      <c r="S38" s="78"/>
      <c r="T38" s="79" t="s">
        <v>91</v>
      </c>
      <c r="U38" s="1044"/>
      <c r="V38" s="1044"/>
    </row>
    <row r="39" customFormat="false" ht="14.25" hidden="false" customHeight="false" outlineLevel="0" collapsed="false">
      <c r="A39" s="1043"/>
      <c r="B39" s="1049"/>
      <c r="C39" s="1102"/>
      <c r="D39" s="1102"/>
      <c r="E39" s="1103"/>
      <c r="F39" s="1103"/>
      <c r="G39" s="1104"/>
      <c r="H39" s="1105"/>
      <c r="I39" s="1059"/>
      <c r="J39" s="1049"/>
      <c r="K39" s="1043"/>
      <c r="L39" s="1043"/>
      <c r="M39" s="1043"/>
      <c r="N39" s="1043"/>
      <c r="O39" s="1043"/>
      <c r="P39" s="79" t="s">
        <v>87</v>
      </c>
      <c r="Q39" s="78"/>
      <c r="R39" s="78"/>
      <c r="S39" s="78"/>
      <c r="T39" s="79"/>
      <c r="U39" s="1043"/>
      <c r="V39" s="1043"/>
    </row>
    <row r="40" customFormat="false" ht="14.25" hidden="false" customHeight="false" outlineLevel="0" collapsed="false">
      <c r="A40" s="1043"/>
      <c r="B40" s="1049"/>
      <c r="C40" s="1102"/>
      <c r="D40" s="1102"/>
      <c r="E40" s="1103"/>
      <c r="F40" s="1103"/>
      <c r="G40" s="1104"/>
      <c r="H40" s="1105"/>
      <c r="I40" s="1059"/>
      <c r="J40" s="1049"/>
      <c r="K40" s="1043"/>
      <c r="L40" s="1043"/>
      <c r="M40" s="1043"/>
      <c r="N40" s="1043"/>
      <c r="O40" s="1043"/>
      <c r="P40" s="79" t="s">
        <v>89</v>
      </c>
      <c r="Q40" s="78"/>
      <c r="R40" s="78"/>
      <c r="S40" s="78"/>
      <c r="T40" s="78"/>
      <c r="U40" s="1043"/>
      <c r="V40" s="1043"/>
    </row>
    <row r="41" customFormat="false" ht="14.25" hidden="false" customHeight="false" outlineLevel="0" collapsed="false">
      <c r="A41" s="1043"/>
      <c r="B41" s="1049"/>
      <c r="C41" s="1102"/>
      <c r="D41" s="1102"/>
      <c r="E41" s="1103"/>
      <c r="F41" s="1103"/>
      <c r="G41" s="1104"/>
      <c r="H41" s="1105"/>
      <c r="I41" s="1059"/>
      <c r="J41" s="1049"/>
      <c r="K41" s="1043"/>
      <c r="L41" s="1043"/>
      <c r="M41" s="1043"/>
      <c r="N41" s="1043"/>
      <c r="O41" s="1043"/>
      <c r="P41" s="79" t="s">
        <v>90</v>
      </c>
      <c r="Q41" s="78"/>
      <c r="R41" s="78"/>
      <c r="S41" s="78"/>
      <c r="T41" s="117"/>
      <c r="U41" s="1043"/>
      <c r="V41" s="1043"/>
    </row>
    <row r="42" customFormat="false" ht="14.25" hidden="false" customHeight="false" outlineLevel="0" collapsed="false">
      <c r="A42" s="1043"/>
      <c r="B42" s="1049"/>
      <c r="C42" s="1102"/>
      <c r="D42" s="1102"/>
      <c r="E42" s="1103"/>
      <c r="F42" s="1103"/>
      <c r="G42" s="1104"/>
      <c r="H42" s="1105"/>
      <c r="I42" s="1059"/>
      <c r="J42" s="1049"/>
      <c r="K42" s="1043"/>
      <c r="L42" s="1043"/>
      <c r="M42" s="1043"/>
      <c r="N42" s="1043"/>
      <c r="O42" s="1043"/>
      <c r="P42" s="79" t="s">
        <v>192</v>
      </c>
      <c r="Q42" s="78"/>
      <c r="R42" s="78"/>
      <c r="S42" s="78"/>
      <c r="T42" s="78"/>
      <c r="U42" s="1043"/>
      <c r="V42" s="1043"/>
    </row>
    <row r="43" customFormat="false" ht="14.25" hidden="false" customHeight="false" outlineLevel="0" collapsed="false">
      <c r="A43" s="1043"/>
      <c r="B43" s="1045"/>
      <c r="C43" s="1102"/>
      <c r="D43" s="1102"/>
      <c r="E43" s="1103"/>
      <c r="F43" s="1103"/>
      <c r="G43" s="1104"/>
      <c r="H43" s="1105"/>
      <c r="I43" s="1058"/>
      <c r="J43" s="1045"/>
      <c r="K43" s="1043"/>
      <c r="L43" s="1043"/>
      <c r="M43" s="1043"/>
      <c r="N43" s="1043"/>
      <c r="O43" s="1043"/>
      <c r="P43" s="79" t="s">
        <v>91</v>
      </c>
      <c r="Q43" s="78"/>
      <c r="R43" s="78"/>
      <c r="S43" s="78"/>
      <c r="T43" s="78"/>
      <c r="U43" s="1043"/>
      <c r="V43" s="1043"/>
    </row>
    <row r="44" customFormat="false" ht="14.25" hidden="false" customHeight="false" outlineLevel="0" collapsed="false">
      <c r="A44" s="1043"/>
      <c r="B44" s="1049"/>
      <c r="C44" s="1106"/>
      <c r="D44" s="1106"/>
      <c r="E44" s="1107"/>
      <c r="F44" s="1107"/>
      <c r="G44" s="927"/>
      <c r="H44" s="1108"/>
      <c r="I44" s="1059"/>
      <c r="J44" s="1049"/>
      <c r="K44" s="1043"/>
      <c r="L44" s="1043"/>
      <c r="M44" s="1043"/>
      <c r="N44" s="1043"/>
      <c r="O44" s="1043"/>
      <c r="P44" s="78"/>
      <c r="Q44" s="78"/>
      <c r="R44" s="78"/>
      <c r="S44" s="78"/>
      <c r="T44" s="78"/>
      <c r="U44" s="1043"/>
      <c r="V44" s="1043"/>
    </row>
    <row r="45" customFormat="false" ht="14.25" hidden="false" customHeight="false" outlineLevel="0" collapsed="false">
      <c r="A45" s="1043"/>
      <c r="B45" s="1049"/>
      <c r="C45" s="1106"/>
      <c r="D45" s="1106"/>
      <c r="E45" s="1107"/>
      <c r="F45" s="1107"/>
      <c r="G45" s="927"/>
      <c r="H45" s="1108"/>
      <c r="I45" s="1059"/>
      <c r="J45" s="1049"/>
      <c r="K45" s="1043"/>
      <c r="L45" s="1043"/>
      <c r="M45" s="1043"/>
      <c r="N45" s="1043"/>
      <c r="O45" s="1043"/>
      <c r="P45" s="78"/>
      <c r="Q45" s="78"/>
      <c r="R45" s="78"/>
      <c r="S45" s="78"/>
      <c r="T45" s="78"/>
      <c r="U45" s="1043"/>
      <c r="V45" s="1043"/>
    </row>
    <row r="46" customFormat="false" ht="14.25" hidden="false" customHeight="true" outlineLevel="0" collapsed="false">
      <c r="A46" s="1043"/>
      <c r="B46" s="1049"/>
      <c r="C46" s="1106"/>
      <c r="D46" s="1106"/>
      <c r="E46" s="1107"/>
      <c r="F46" s="1107"/>
      <c r="G46" s="927"/>
      <c r="H46" s="1108"/>
      <c r="I46" s="1059"/>
      <c r="J46" s="1049"/>
      <c r="K46" s="1043"/>
      <c r="L46" s="1043"/>
      <c r="M46" s="1043"/>
      <c r="N46" s="1043"/>
      <c r="O46" s="1043"/>
      <c r="Q46" s="78"/>
      <c r="R46" s="78"/>
      <c r="S46" s="78"/>
      <c r="T46" s="78"/>
      <c r="U46" s="1043"/>
      <c r="V46" s="1043"/>
    </row>
    <row r="47" customFormat="false" ht="14.25" hidden="false" customHeight="false" outlineLevel="0" collapsed="false">
      <c r="A47" s="1043"/>
      <c r="B47" s="1049"/>
      <c r="C47" s="1106"/>
      <c r="D47" s="1106"/>
      <c r="E47" s="1107"/>
      <c r="F47" s="1107"/>
      <c r="G47" s="927"/>
      <c r="H47" s="1108"/>
      <c r="I47" s="1059"/>
      <c r="J47" s="1049"/>
      <c r="K47" s="1043"/>
      <c r="L47" s="1043"/>
      <c r="M47" s="1043"/>
      <c r="N47" s="1043"/>
      <c r="O47" s="1043"/>
      <c r="Q47" s="78"/>
      <c r="R47" s="78"/>
      <c r="S47" s="78"/>
      <c r="T47" s="78"/>
      <c r="U47" s="1043"/>
      <c r="V47" s="1043"/>
    </row>
    <row r="48" customFormat="false" ht="14.25" hidden="false" customHeight="false" outlineLevel="0" collapsed="false">
      <c r="A48" s="1043"/>
      <c r="B48" s="1049"/>
      <c r="C48" s="1106"/>
      <c r="D48" s="1106"/>
      <c r="E48" s="1107"/>
      <c r="F48" s="1107"/>
      <c r="G48" s="927"/>
      <c r="H48" s="1108"/>
      <c r="I48" s="1059"/>
      <c r="J48" s="1049"/>
      <c r="K48" s="1043"/>
      <c r="L48" s="1043"/>
      <c r="M48" s="1043"/>
      <c r="N48" s="1043"/>
      <c r="O48" s="1043"/>
      <c r="S48" s="78"/>
      <c r="U48" s="1043"/>
      <c r="V48" s="1043"/>
    </row>
    <row r="49" customFormat="false" ht="14.25" hidden="false" customHeight="false" outlineLevel="0" collapsed="false">
      <c r="A49" s="1043"/>
      <c r="B49" s="1049"/>
      <c r="C49" s="1106"/>
      <c r="D49" s="1106"/>
      <c r="E49" s="1107"/>
      <c r="F49" s="1107"/>
      <c r="G49" s="927"/>
      <c r="H49" s="1108"/>
      <c r="I49" s="1059"/>
      <c r="J49" s="1049"/>
      <c r="K49" s="1043"/>
      <c r="L49" s="1043"/>
      <c r="M49" s="1043"/>
      <c r="N49" s="1043"/>
      <c r="O49" s="1043"/>
      <c r="S49" s="78"/>
      <c r="U49" s="1043"/>
      <c r="V49" s="1043"/>
    </row>
    <row r="50" customFormat="false" ht="14.25" hidden="false" customHeight="false" outlineLevel="0" collapsed="false">
      <c r="A50" s="1043"/>
      <c r="B50" s="1049"/>
      <c r="C50" s="1106"/>
      <c r="D50" s="1106"/>
      <c r="E50" s="1107"/>
      <c r="F50" s="1107"/>
      <c r="G50" s="927"/>
      <c r="H50" s="1108"/>
      <c r="I50" s="1059"/>
      <c r="J50" s="1049"/>
      <c r="K50" s="1043"/>
      <c r="L50" s="1043"/>
      <c r="M50" s="1043"/>
      <c r="N50" s="1043"/>
      <c r="O50" s="1043"/>
      <c r="U50" s="1043"/>
      <c r="V50" s="1043"/>
    </row>
    <row r="51" customFormat="false" ht="14.25" hidden="false" customHeight="false" outlineLevel="0" collapsed="false">
      <c r="A51" s="1043"/>
      <c r="B51" s="1049"/>
      <c r="C51" s="1106"/>
      <c r="D51" s="1106"/>
      <c r="E51" s="1107"/>
      <c r="F51" s="1107"/>
      <c r="G51" s="927"/>
      <c r="H51" s="1108"/>
      <c r="I51" s="1059"/>
      <c r="J51" s="1049"/>
      <c r="K51" s="1043"/>
      <c r="L51" s="1043"/>
      <c r="M51" s="1043"/>
      <c r="N51" s="1043"/>
      <c r="O51" s="1043"/>
      <c r="U51" s="1043"/>
      <c r="V51" s="1043"/>
    </row>
    <row r="52" customFormat="false" ht="14.25" hidden="false" customHeight="false" outlineLevel="0" collapsed="false">
      <c r="A52" s="1043"/>
      <c r="B52" s="1049"/>
      <c r="C52" s="1106"/>
      <c r="D52" s="1106"/>
      <c r="E52" s="1107"/>
      <c r="F52" s="1107"/>
      <c r="G52" s="927"/>
      <c r="H52" s="1108"/>
      <c r="I52" s="1059"/>
      <c r="J52" s="1049"/>
      <c r="K52" s="1043"/>
      <c r="L52" s="1043"/>
      <c r="M52" s="1043"/>
      <c r="N52" s="1043"/>
      <c r="O52" s="1043"/>
      <c r="U52" s="1043"/>
      <c r="V52" s="1043"/>
    </row>
    <row r="53" customFormat="false" ht="14.25" hidden="false" customHeight="false" outlineLevel="0" collapsed="false">
      <c r="A53" s="1043"/>
      <c r="B53" s="1049"/>
      <c r="C53" s="1106"/>
      <c r="D53" s="1106"/>
      <c r="E53" s="1107"/>
      <c r="F53" s="1107"/>
      <c r="G53" s="927"/>
      <c r="H53" s="1108"/>
      <c r="I53" s="1059"/>
      <c r="J53" s="1049"/>
      <c r="K53" s="1043"/>
      <c r="L53" s="1043"/>
      <c r="M53" s="1043"/>
      <c r="N53" s="1043"/>
      <c r="O53" s="1043"/>
      <c r="U53" s="1043"/>
      <c r="V53" s="1043"/>
    </row>
    <row r="54" customFormat="false" ht="14.25" hidden="false" customHeight="false" outlineLevel="0" collapsed="false">
      <c r="A54" s="1043"/>
      <c r="B54" s="1049"/>
      <c r="C54" s="1106"/>
      <c r="D54" s="1106"/>
      <c r="E54" s="1107"/>
      <c r="F54" s="1107"/>
      <c r="G54" s="927"/>
      <c r="H54" s="1108"/>
      <c r="I54" s="1059"/>
      <c r="J54" s="1049"/>
      <c r="K54" s="1043"/>
      <c r="L54" s="1043"/>
      <c r="M54" s="1043"/>
      <c r="N54" s="1043"/>
      <c r="O54" s="1043"/>
      <c r="U54" s="1043"/>
      <c r="V54" s="1043"/>
    </row>
    <row r="55" customFormat="false" ht="14.25" hidden="false" customHeight="false" outlineLevel="0" collapsed="false">
      <c r="A55" s="1043"/>
      <c r="B55" s="1049"/>
      <c r="C55" s="1109"/>
      <c r="D55" s="1109"/>
      <c r="E55" s="1110"/>
      <c r="F55" s="1110"/>
      <c r="G55" s="1111"/>
      <c r="H55" s="1112"/>
      <c r="I55" s="1058"/>
      <c r="J55" s="1049"/>
      <c r="K55" s="1043"/>
      <c r="L55" s="1043"/>
      <c r="M55" s="1043"/>
      <c r="N55" s="1043"/>
      <c r="O55" s="1043"/>
      <c r="U55" s="1043"/>
      <c r="V55" s="1043"/>
    </row>
    <row r="56" customFormat="false" ht="14.25" hidden="false" customHeight="false" outlineLevel="0" collapsed="false">
      <c r="A56" s="1043"/>
      <c r="B56" s="1049"/>
      <c r="C56" s="1062"/>
      <c r="D56" s="1063"/>
      <c r="E56" s="1063"/>
      <c r="F56" s="1063"/>
      <c r="G56" s="1063"/>
      <c r="H56" s="933" t="s">
        <v>822</v>
      </c>
      <c r="I56" s="1064" t="n">
        <f aca="false">SUM(I31:I55)</f>
        <v>74.2</v>
      </c>
      <c r="J56" s="1049"/>
      <c r="K56" s="1043"/>
      <c r="L56" s="1043"/>
      <c r="M56" s="1043"/>
      <c r="N56" s="1043"/>
      <c r="O56" s="1043"/>
      <c r="U56" s="1043"/>
      <c r="V56" s="1043"/>
    </row>
    <row r="57" customFormat="false" ht="14.25" hidden="false" customHeight="false" outlineLevel="0" collapsed="false">
      <c r="A57" s="1043"/>
      <c r="B57" s="1049"/>
      <c r="C57" s="1073" t="s">
        <v>284</v>
      </c>
      <c r="D57" s="1073"/>
      <c r="E57" s="1073"/>
      <c r="F57" s="1073"/>
      <c r="G57" s="1073"/>
      <c r="H57" s="1073"/>
      <c r="I57" s="1073"/>
      <c r="J57" s="1049"/>
      <c r="K57" s="1043"/>
      <c r="L57" s="1043"/>
      <c r="M57" s="1043"/>
      <c r="N57" s="1043"/>
      <c r="O57" s="1043"/>
      <c r="U57" s="1043"/>
      <c r="V57" s="1043"/>
    </row>
    <row r="58" customFormat="false" ht="14.25" hidden="false" customHeight="false" outlineLevel="0" collapsed="false">
      <c r="A58" s="1043"/>
      <c r="B58" s="1049"/>
      <c r="C58" s="1074" t="s">
        <v>823</v>
      </c>
      <c r="D58" s="1074"/>
      <c r="E58" s="1074"/>
      <c r="F58" s="1074"/>
      <c r="G58" s="1074"/>
      <c r="H58" s="1074"/>
      <c r="I58" s="1074"/>
      <c r="J58" s="1049"/>
      <c r="K58" s="1043"/>
      <c r="L58" s="1043"/>
      <c r="M58" s="1043"/>
      <c r="N58" s="1043"/>
      <c r="O58" s="1043"/>
      <c r="U58" s="1043"/>
      <c r="V58" s="1043"/>
    </row>
    <row r="59" customFormat="false" ht="14.25" hidden="false" customHeight="false" outlineLevel="0" collapsed="false">
      <c r="A59" s="1043"/>
      <c r="B59" s="1043"/>
      <c r="C59" s="1043"/>
      <c r="D59" s="1043"/>
      <c r="E59" s="1043"/>
      <c r="F59" s="1043"/>
      <c r="G59" s="1043"/>
      <c r="H59" s="1043"/>
      <c r="I59" s="1043"/>
      <c r="J59" s="1043"/>
      <c r="K59" s="1043"/>
      <c r="L59" s="1043"/>
      <c r="M59" s="1043"/>
      <c r="N59" s="1043"/>
      <c r="O59" s="1043"/>
      <c r="U59" s="1043"/>
      <c r="V59" s="1043"/>
    </row>
    <row r="60" customFormat="false" ht="14.25" hidden="false" customHeight="false" outlineLevel="0" collapsed="false">
      <c r="A60" s="1043"/>
      <c r="B60" s="1043"/>
      <c r="C60" s="1043"/>
      <c r="D60" s="1043"/>
      <c r="E60" s="1043"/>
      <c r="F60" s="1043"/>
      <c r="G60" s="1043"/>
      <c r="H60" s="1043"/>
      <c r="I60" s="1043"/>
      <c r="J60" s="1043"/>
      <c r="K60" s="1043"/>
      <c r="L60" s="1043"/>
      <c r="M60" s="1043"/>
      <c r="N60" s="1043"/>
      <c r="O60" s="1043"/>
      <c r="U60" s="1043"/>
      <c r="V60" s="1043"/>
    </row>
    <row r="61" customFormat="false" ht="14.25" hidden="false" customHeight="false" outlineLevel="0" collapsed="false">
      <c r="A61" s="1043"/>
      <c r="B61" s="1043"/>
      <c r="C61" s="1043"/>
      <c r="D61" s="1043"/>
      <c r="E61" s="1043"/>
      <c r="F61" s="1043"/>
      <c r="G61" s="1043"/>
      <c r="H61" s="1043"/>
      <c r="I61" s="1043"/>
      <c r="J61" s="1043"/>
      <c r="K61" s="1043"/>
      <c r="L61" s="1043"/>
      <c r="M61" s="1043"/>
      <c r="N61" s="1043"/>
      <c r="O61" s="1043"/>
      <c r="U61" s="1043"/>
      <c r="V61" s="1043"/>
    </row>
    <row r="62" customFormat="false" ht="14.25" hidden="false" customHeight="false" outlineLevel="0" collapsed="false">
      <c r="A62" s="1043"/>
      <c r="B62" s="1043"/>
      <c r="C62" s="1043"/>
      <c r="D62" s="1043"/>
      <c r="E62" s="1043"/>
      <c r="F62" s="1043"/>
      <c r="G62" s="1043"/>
      <c r="H62" s="1043"/>
      <c r="I62" s="1043"/>
      <c r="J62" s="1043"/>
      <c r="K62" s="1043"/>
      <c r="L62" s="1043"/>
      <c r="M62" s="1043"/>
      <c r="N62" s="1043"/>
      <c r="O62" s="1043"/>
      <c r="U62" s="1043"/>
      <c r="V62" s="1043"/>
    </row>
    <row r="63" customFormat="false" ht="14.25" hidden="false" customHeight="false" outlineLevel="0" collapsed="false">
      <c r="A63" s="1043"/>
      <c r="B63" s="1043"/>
      <c r="C63" s="1043"/>
      <c r="D63" s="1043"/>
      <c r="E63" s="1043"/>
      <c r="F63" s="1043"/>
      <c r="G63" s="1043"/>
      <c r="H63" s="1043"/>
      <c r="I63" s="1043"/>
      <c r="J63" s="1043"/>
      <c r="K63" s="1043"/>
      <c r="L63" s="1043"/>
      <c r="M63" s="1043"/>
      <c r="N63" s="1043"/>
      <c r="O63" s="1043"/>
      <c r="U63" s="1043"/>
      <c r="V63" s="1043"/>
    </row>
    <row r="64" customFormat="false" ht="14.25" hidden="false" customHeight="false" outlineLevel="0" collapsed="false">
      <c r="A64" s="1043"/>
      <c r="B64" s="1043"/>
      <c r="C64" s="1043"/>
      <c r="D64" s="1043"/>
      <c r="E64" s="1043"/>
      <c r="F64" s="1043"/>
      <c r="G64" s="1043"/>
      <c r="H64" s="1043"/>
      <c r="I64" s="1043"/>
      <c r="J64" s="1043"/>
      <c r="K64" s="1043"/>
      <c r="L64" s="1043"/>
      <c r="M64" s="1043"/>
      <c r="N64" s="1043"/>
      <c r="O64" s="1043"/>
      <c r="U64" s="1043"/>
      <c r="V64" s="1043"/>
    </row>
    <row r="65" customFormat="false" ht="14.25" hidden="false" customHeight="false" outlineLevel="0" collapsed="false">
      <c r="A65" s="1043"/>
      <c r="B65" s="1043"/>
      <c r="C65" s="1043"/>
      <c r="D65" s="1043"/>
      <c r="E65" s="1043"/>
      <c r="F65" s="1043"/>
      <c r="G65" s="1043"/>
      <c r="H65" s="1043"/>
      <c r="I65" s="1043"/>
      <c r="J65" s="1043"/>
      <c r="K65" s="1043"/>
      <c r="L65" s="1043"/>
      <c r="M65" s="1043"/>
      <c r="N65" s="1043"/>
      <c r="O65" s="1043"/>
      <c r="U65" s="1043"/>
      <c r="V65" s="1043"/>
    </row>
    <row r="66" customFormat="false" ht="14.25" hidden="false" customHeight="false" outlineLevel="0" collapsed="false">
      <c r="A66" s="1043"/>
      <c r="B66" s="1043"/>
      <c r="C66" s="1043"/>
      <c r="D66" s="1043"/>
      <c r="E66" s="1043"/>
      <c r="F66" s="1043"/>
      <c r="G66" s="1043"/>
      <c r="H66" s="1043"/>
      <c r="I66" s="1043"/>
      <c r="J66" s="1043"/>
      <c r="K66" s="1043"/>
      <c r="L66" s="1043"/>
      <c r="M66" s="1043"/>
      <c r="N66" s="1043"/>
      <c r="O66" s="1043"/>
      <c r="U66" s="1043"/>
      <c r="V66" s="1043"/>
    </row>
    <row r="67" customFormat="false" ht="14.25" hidden="false" customHeight="false" outlineLevel="0" collapsed="false">
      <c r="A67" s="1043"/>
      <c r="B67" s="1043"/>
      <c r="C67" s="1043"/>
      <c r="D67" s="1043"/>
      <c r="E67" s="1043"/>
      <c r="F67" s="1043"/>
      <c r="G67" s="1043"/>
      <c r="H67" s="1043"/>
      <c r="I67" s="1043"/>
      <c r="J67" s="1043"/>
      <c r="K67" s="1043"/>
      <c r="L67" s="1043"/>
      <c r="M67" s="1043"/>
      <c r="N67" s="1043"/>
      <c r="O67" s="1043"/>
      <c r="U67" s="1043"/>
      <c r="V67" s="1043"/>
    </row>
    <row r="68" customFormat="false" ht="14.25" hidden="false" customHeight="false" outlineLevel="0" collapsed="false">
      <c r="A68" s="1043"/>
      <c r="B68" s="1043"/>
      <c r="C68" s="1043"/>
      <c r="D68" s="1043"/>
      <c r="E68" s="1043"/>
      <c r="F68" s="1043"/>
      <c r="G68" s="1043"/>
      <c r="H68" s="1043"/>
      <c r="I68" s="1043"/>
      <c r="J68" s="1043"/>
      <c r="K68" s="1043"/>
      <c r="L68" s="1043"/>
      <c r="M68" s="1043"/>
      <c r="N68" s="1043"/>
      <c r="O68" s="1043"/>
      <c r="U68" s="1043"/>
      <c r="V68" s="1043"/>
    </row>
    <row r="69" customFormat="false" ht="14.25" hidden="false" customHeight="false" outlineLevel="0" collapsed="false">
      <c r="A69" s="1043"/>
      <c r="B69" s="1043"/>
      <c r="C69" s="1043"/>
      <c r="D69" s="1043"/>
      <c r="E69" s="1043"/>
      <c r="F69" s="1043"/>
      <c r="G69" s="1043"/>
      <c r="H69" s="1043"/>
      <c r="I69" s="1043"/>
      <c r="J69" s="1043"/>
      <c r="K69" s="1043"/>
      <c r="L69" s="1043"/>
      <c r="M69" s="1043"/>
      <c r="N69" s="1043"/>
      <c r="O69" s="1043"/>
      <c r="U69" s="1043"/>
      <c r="V69" s="1043"/>
    </row>
  </sheetData>
  <sheetProtection algorithmName="SHA-512" hashValue="SJXpbgg2vXB4GY3wMaIdARK3qcDoqHiSOywa4XCYw35UTsvWRjnCohmXzd6Ya4ob5QxYPAUSJKQV6YGOmpqpZQ==" saltValue="M4EN2wMsygH3kBgOqhEZWA==" spinCount="100000" sheet="true" objects="true" scenarios="true" selectLockedCells="true"/>
  <mergeCells count="52">
    <mergeCell ref="B3:J3"/>
    <mergeCell ref="B4:J4"/>
    <mergeCell ref="B6:J6"/>
    <mergeCell ref="B8:J8"/>
    <mergeCell ref="C10:C11"/>
    <mergeCell ref="G10:G11"/>
    <mergeCell ref="H10:H11"/>
    <mergeCell ref="I10:I11"/>
    <mergeCell ref="C18:I18"/>
    <mergeCell ref="H19:H20"/>
    <mergeCell ref="I19:I20"/>
    <mergeCell ref="C20:G20"/>
    <mergeCell ref="C21:G21"/>
    <mergeCell ref="C22:G22"/>
    <mergeCell ref="C23:G23"/>
    <mergeCell ref="C24:G24"/>
    <mergeCell ref="C25:G25"/>
    <mergeCell ref="C26:G26"/>
    <mergeCell ref="C29:D29"/>
    <mergeCell ref="E29:E30"/>
    <mergeCell ref="F29:F30"/>
    <mergeCell ref="G29:G30"/>
    <mergeCell ref="H29:H30"/>
    <mergeCell ref="I29:I30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7:I57"/>
    <mergeCell ref="C58:I58"/>
  </mergeCells>
  <conditionalFormatting sqref="I21:I26 I12:I15 I31:I55">
    <cfRule type="cellIs" priority="2" operator="lessThan" aboveAverage="0" equalAverage="0" bottom="0" percent="0" rank="0" text="" dxfId="36">
      <formula>0</formula>
    </cfRule>
  </conditionalFormatting>
  <dataValidations count="1">
    <dataValidation allowBlank="true" error="Enter a dollar amount." errorStyle="stop" operator="greaterThanOrEqual" showDropDown="false" showErrorMessage="true" showInputMessage="true" sqref="I12:I15 I21:I26 I31:I55" type="decimal">
      <formula1>-9999999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6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1" activeCellId="0" sqref="P1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17.62"/>
    <col collapsed="false" customWidth="true" hidden="false" outlineLevel="0" max="4" min="4" style="1" width="64.62"/>
    <col collapsed="false" customWidth="true" hidden="false" outlineLevel="0" max="6" min="5" style="1" width="12.62"/>
    <col collapsed="false" customWidth="true" hidden="false" outlineLevel="0" max="8" min="7" style="1" width="3.62"/>
    <col collapsed="false" customWidth="true" hidden="true" outlineLevel="0" max="15" min="9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1113"/>
      <c r="B1" s="1113"/>
      <c r="C1" s="1113"/>
      <c r="D1" s="1113"/>
      <c r="E1" s="1113"/>
      <c r="F1" s="1113"/>
      <c r="G1" s="1113"/>
      <c r="H1" s="1113"/>
      <c r="I1" s="1113"/>
      <c r="J1" s="1113"/>
      <c r="K1" s="1113"/>
      <c r="L1" s="1113"/>
      <c r="M1" s="1113"/>
      <c r="N1" s="1113"/>
      <c r="O1" s="111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1113"/>
    </row>
    <row r="2" customFormat="false" ht="14.25" hidden="false" customHeight="false" outlineLevel="0" collapsed="false">
      <c r="A2" s="1113"/>
      <c r="B2" s="1114"/>
      <c r="C2" s="81" t="str">
        <f aca="false">Contents!B59</f>
        <v>Version: AS L 6 LARGE locked LOCAL</v>
      </c>
      <c r="D2" s="1114"/>
      <c r="E2" s="1114"/>
      <c r="F2" s="1114"/>
      <c r="G2" s="1114"/>
      <c r="H2" s="1113"/>
      <c r="I2" s="1113"/>
      <c r="J2" s="1113"/>
      <c r="K2" s="1113"/>
      <c r="L2" s="1113"/>
      <c r="M2" s="1113"/>
      <c r="N2" s="1113"/>
      <c r="O2" s="1113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1113"/>
    </row>
    <row r="3" customFormat="false" ht="14.25" hidden="false" customHeight="false" outlineLevel="0" collapsed="false">
      <c r="A3" s="1115"/>
      <c r="B3" s="1116"/>
      <c r="C3" s="1117" t="str">
        <f aca="false">Contents!$E$3</f>
        <v>THE SOCIETY FOR CREATIVE ANACHRONISM, INC.</v>
      </c>
      <c r="D3" s="1117"/>
      <c r="E3" s="1117"/>
      <c r="F3" s="1117"/>
      <c r="G3" s="1116"/>
      <c r="H3" s="1115"/>
      <c r="I3" s="1115"/>
      <c r="J3" s="1115"/>
      <c r="K3" s="1115"/>
      <c r="L3" s="1115"/>
      <c r="M3" s="1115"/>
      <c r="N3" s="1115"/>
      <c r="O3" s="111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1115"/>
    </row>
    <row r="4" customFormat="false" ht="14.25" hidden="false" customHeight="false" outlineLevel="0" collapsed="false">
      <c r="A4" s="1113"/>
      <c r="B4" s="1116"/>
      <c r="C4" s="1117" t="str">
        <f aca="false">Contents!$E$4</f>
        <v>FINANCIAL REPORT</v>
      </c>
      <c r="D4" s="1117"/>
      <c r="E4" s="1117"/>
      <c r="F4" s="1117"/>
      <c r="G4" s="1116"/>
      <c r="H4" s="1113"/>
      <c r="I4" s="1113"/>
      <c r="J4" s="1113"/>
      <c r="K4" s="1113"/>
      <c r="L4" s="1113"/>
      <c r="M4" s="1113"/>
      <c r="N4" s="1113"/>
      <c r="O4" s="111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1113"/>
    </row>
    <row r="5" customFormat="false" ht="14.25" hidden="false" customHeight="false" outlineLevel="0" collapsed="false">
      <c r="A5" s="1113"/>
      <c r="B5" s="1114"/>
      <c r="C5" s="1118"/>
      <c r="D5" s="1118"/>
      <c r="E5" s="1118"/>
      <c r="F5" s="1118"/>
      <c r="G5" s="1114"/>
      <c r="H5" s="1113"/>
      <c r="I5" s="1113"/>
      <c r="J5" s="1113"/>
      <c r="K5" s="1113"/>
      <c r="L5" s="1113"/>
      <c r="M5" s="1113"/>
      <c r="N5" s="1113"/>
      <c r="O5" s="111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1113"/>
    </row>
    <row r="6" customFormat="false" ht="14.25" hidden="false" customHeight="false" outlineLevel="0" collapsed="false">
      <c r="A6" s="1113"/>
      <c r="B6" s="1114"/>
      <c r="C6" s="1119" t="str">
        <f aca="false">Contents!B58</f>
        <v>Branch:   SCA, Inc.- Middle Kingdom                                               Period:  1/01/2025             to     12/31/2025            .</v>
      </c>
      <c r="D6" s="1119"/>
      <c r="E6" s="1119"/>
      <c r="F6" s="1119"/>
      <c r="G6" s="1114"/>
      <c r="H6" s="1113"/>
      <c r="I6" s="1113"/>
      <c r="J6" s="1113"/>
      <c r="K6" s="1113"/>
      <c r="L6" s="1113"/>
      <c r="M6" s="1113"/>
      <c r="N6" s="1113"/>
      <c r="O6" s="1113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1113"/>
    </row>
    <row r="7" customFormat="false" ht="14.25" hidden="false" customHeight="false" outlineLevel="0" collapsed="false">
      <c r="A7" s="1113"/>
      <c r="B7" s="1114"/>
      <c r="C7" s="1114"/>
      <c r="D7" s="1114"/>
      <c r="E7" s="1114"/>
      <c r="F7" s="1114"/>
      <c r="G7" s="1114"/>
      <c r="H7" s="1113"/>
      <c r="I7" s="1113"/>
      <c r="J7" s="1113"/>
      <c r="K7" s="1113"/>
      <c r="L7" s="1113"/>
      <c r="M7" s="1113"/>
      <c r="N7" s="1113"/>
      <c r="O7" s="111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1113"/>
    </row>
    <row r="8" customFormat="false" ht="17.35" hidden="false" customHeight="false" outlineLevel="0" collapsed="false">
      <c r="A8" s="1113"/>
      <c r="B8" s="1114"/>
      <c r="C8" s="1120" t="s">
        <v>824</v>
      </c>
      <c r="D8" s="1120"/>
      <c r="E8" s="1120"/>
      <c r="F8" s="1120"/>
      <c r="G8" s="1114"/>
      <c r="H8" s="1113"/>
      <c r="I8" s="1113"/>
      <c r="J8" s="1113"/>
      <c r="K8" s="1113"/>
      <c r="L8" s="1113"/>
      <c r="M8" s="1113"/>
      <c r="N8" s="1113"/>
      <c r="O8" s="1113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1113"/>
    </row>
    <row r="9" customFormat="false" ht="14.25" hidden="false" customHeight="false" outlineLevel="0" collapsed="false">
      <c r="A9" s="1113"/>
      <c r="B9" s="1114"/>
      <c r="C9" s="1114"/>
      <c r="D9" s="1114"/>
      <c r="E9" s="1114"/>
      <c r="F9" s="1114"/>
      <c r="G9" s="1114"/>
      <c r="H9" s="1113"/>
      <c r="I9" s="1113"/>
      <c r="J9" s="1113"/>
      <c r="K9" s="1113"/>
      <c r="L9" s="1113"/>
      <c r="M9" s="1113"/>
      <c r="N9" s="1113"/>
      <c r="O9" s="1113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1113"/>
    </row>
    <row r="10" customFormat="false" ht="14.25" hidden="false" customHeight="false" outlineLevel="0" collapsed="false">
      <c r="A10" s="1113"/>
      <c r="B10" s="1114"/>
      <c r="C10" s="1114" t="s">
        <v>825</v>
      </c>
      <c r="D10" s="1114"/>
      <c r="E10" s="1114"/>
      <c r="F10" s="1114"/>
      <c r="G10" s="1114"/>
      <c r="H10" s="1113"/>
      <c r="I10" s="1113"/>
      <c r="J10" s="1113"/>
      <c r="K10" s="1113"/>
      <c r="L10" s="1113"/>
      <c r="M10" s="1113"/>
      <c r="N10" s="1113"/>
      <c r="O10" s="1113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113"/>
    </row>
    <row r="11" customFormat="false" ht="14.25" hidden="false" customHeight="false" outlineLevel="0" collapsed="false">
      <c r="A11" s="1113"/>
      <c r="B11" s="1114"/>
      <c r="C11" s="1121"/>
      <c r="D11" s="1114" t="s">
        <v>826</v>
      </c>
      <c r="E11" s="1114"/>
      <c r="F11" s="194"/>
      <c r="G11" s="1114"/>
      <c r="H11" s="1113"/>
      <c r="I11" s="1113"/>
      <c r="J11" s="1113"/>
      <c r="K11" s="1113"/>
      <c r="L11" s="1113"/>
      <c r="M11" s="1113"/>
      <c r="N11" s="1113"/>
      <c r="O11" s="1113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113"/>
    </row>
    <row r="12" customFormat="false" ht="14.25" hidden="false" customHeight="false" outlineLevel="0" collapsed="false">
      <c r="A12" s="1113"/>
      <c r="B12" s="1114"/>
      <c r="C12" s="1122"/>
      <c r="D12" s="1114" t="s">
        <v>827</v>
      </c>
      <c r="E12" s="1114"/>
      <c r="F12" s="194"/>
      <c r="G12" s="1114"/>
      <c r="H12" s="1113"/>
      <c r="I12" s="1113"/>
      <c r="J12" s="1113"/>
      <c r="K12" s="1113"/>
      <c r="L12" s="1113"/>
      <c r="M12" s="1113"/>
      <c r="N12" s="1113"/>
      <c r="O12" s="1113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113"/>
    </row>
    <row r="13" customFormat="false" ht="14.25" hidden="false" customHeight="false" outlineLevel="0" collapsed="false">
      <c r="A13" s="1113"/>
      <c r="B13" s="1114"/>
      <c r="C13" s="1123" t="s">
        <v>828</v>
      </c>
      <c r="D13" s="1114" t="s">
        <v>829</v>
      </c>
      <c r="E13" s="1114"/>
      <c r="F13" s="194"/>
      <c r="G13" s="1114"/>
      <c r="H13" s="1113"/>
      <c r="I13" s="1113"/>
      <c r="J13" s="1113"/>
      <c r="K13" s="1113"/>
      <c r="L13" s="1113"/>
      <c r="M13" s="1113"/>
      <c r="N13" s="1113"/>
      <c r="O13" s="1113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113"/>
    </row>
    <row r="14" customFormat="false" ht="14.25" hidden="false" customHeight="false" outlineLevel="0" collapsed="false">
      <c r="A14" s="1113"/>
      <c r="B14" s="1114"/>
      <c r="C14" s="1114"/>
      <c r="D14" s="1114"/>
      <c r="E14" s="1114"/>
      <c r="F14" s="1114"/>
      <c r="G14" s="1114"/>
      <c r="H14" s="1113"/>
      <c r="I14" s="1113"/>
      <c r="J14" s="1113"/>
      <c r="K14" s="1113"/>
      <c r="L14" s="1113"/>
      <c r="M14" s="1113"/>
      <c r="N14" s="1113"/>
      <c r="O14" s="1113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113"/>
    </row>
    <row r="15" customFormat="false" ht="14.25" hidden="false" customHeight="false" outlineLevel="0" collapsed="false">
      <c r="A15" s="1113"/>
      <c r="B15" s="1114"/>
      <c r="C15" s="1124" t="s">
        <v>225</v>
      </c>
      <c r="D15" s="1125" t="s">
        <v>830</v>
      </c>
      <c r="E15" s="1126" t="s">
        <v>831</v>
      </c>
      <c r="F15" s="1127" t="s">
        <v>832</v>
      </c>
      <c r="G15" s="1114"/>
      <c r="H15" s="1113"/>
      <c r="I15" s="1113"/>
      <c r="J15" s="1113"/>
      <c r="K15" s="1113"/>
      <c r="L15" s="1113"/>
      <c r="M15" s="1113"/>
      <c r="N15" s="1113"/>
      <c r="O15" s="1113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113"/>
    </row>
    <row r="16" customFormat="false" ht="14.25" hidden="false" customHeight="false" outlineLevel="0" collapsed="false">
      <c r="A16" s="1113"/>
      <c r="B16" s="1114"/>
      <c r="C16" s="1124"/>
      <c r="D16" s="1128" t="s">
        <v>833</v>
      </c>
      <c r="E16" s="1129" t="s">
        <v>834</v>
      </c>
      <c r="F16" s="1130" t="s">
        <v>835</v>
      </c>
      <c r="G16" s="1114"/>
      <c r="H16" s="1113"/>
      <c r="I16" s="1113"/>
      <c r="J16" s="1113"/>
      <c r="K16" s="1113"/>
      <c r="L16" s="1113"/>
      <c r="M16" s="1113"/>
      <c r="N16" s="1113"/>
      <c r="O16" s="1113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1113"/>
    </row>
    <row r="17" customFormat="false" ht="14.25" hidden="false" customHeight="false" outlineLevel="0" collapsed="false">
      <c r="A17" s="1113"/>
      <c r="B17" s="1114"/>
      <c r="C17" s="1131" t="s">
        <v>230</v>
      </c>
      <c r="D17" s="1132" t="str">
        <f aca="false">IF(Contents!$C$9="","",Contents!$C$9)</f>
        <v>Lisa Gray</v>
      </c>
      <c r="E17" s="1133" t="n">
        <v>137229</v>
      </c>
      <c r="F17" s="1134" t="n">
        <v>46054</v>
      </c>
      <c r="G17" s="1114"/>
      <c r="H17" s="1113"/>
      <c r="I17" s="1113"/>
      <c r="J17" s="1113"/>
      <c r="K17" s="1113"/>
      <c r="L17" s="1113"/>
      <c r="M17" s="1113"/>
      <c r="N17" s="1113"/>
      <c r="O17" s="111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1113"/>
    </row>
    <row r="18" customFormat="false" ht="14.25" hidden="false" customHeight="false" outlineLevel="0" collapsed="false">
      <c r="A18" s="1113"/>
      <c r="B18" s="1114"/>
      <c r="C18" s="1131"/>
      <c r="D18" s="1135" t="s">
        <v>836</v>
      </c>
      <c r="E18" s="1133"/>
      <c r="F18" s="1134"/>
      <c r="G18" s="1114"/>
      <c r="H18" s="1113"/>
      <c r="I18" s="1113"/>
      <c r="J18" s="1113"/>
      <c r="K18" s="1113"/>
      <c r="L18" s="1113"/>
      <c r="M18" s="1113"/>
      <c r="N18" s="1113"/>
      <c r="O18" s="1113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1113"/>
    </row>
    <row r="19" customFormat="false" ht="14.25" hidden="false" customHeight="false" outlineLevel="0" collapsed="false">
      <c r="A19" s="1113"/>
      <c r="B19" s="1114"/>
      <c r="C19" s="1131" t="s">
        <v>229</v>
      </c>
      <c r="D19" s="1132" t="str">
        <f aca="false">IF(Contents!$C$10="","",Contents!$C$10)</f>
        <v>David Young</v>
      </c>
      <c r="E19" s="1136" t="n">
        <f aca="false">IF(ISBLANK(CONTACT_INFO_1!H15),"",CONTACT_INFO_1!H15)</f>
        <v>60041</v>
      </c>
      <c r="F19" s="1137" t="n">
        <f aca="false">IF(ISBLANK(CONTACT_INFO_1!H16),"",CONTACT_INFO_1!H16)</f>
        <v>46387</v>
      </c>
      <c r="G19" s="1114"/>
      <c r="H19" s="1113"/>
      <c r="I19" s="1113"/>
      <c r="J19" s="1113"/>
      <c r="K19" s="1113"/>
      <c r="L19" s="1113"/>
      <c r="M19" s="1113"/>
      <c r="N19" s="1113"/>
      <c r="O19" s="1113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1113"/>
    </row>
    <row r="20" customFormat="false" ht="14.25" hidden="false" customHeight="false" outlineLevel="0" collapsed="false">
      <c r="A20" s="1113"/>
      <c r="B20" s="1114"/>
      <c r="C20" s="1131"/>
      <c r="D20" s="1138" t="str">
        <f aca="false">IF(ISBLANK(CONTACT_INFO_1!D16),"",CONTACT_INFO_1!D16)</f>
        <v>Aidan Blackstone</v>
      </c>
      <c r="E20" s="1136"/>
      <c r="F20" s="1137"/>
      <c r="G20" s="1114"/>
      <c r="H20" s="1113"/>
      <c r="I20" s="1113"/>
      <c r="J20" s="1113"/>
      <c r="K20" s="1113"/>
      <c r="L20" s="1113"/>
      <c r="M20" s="1113"/>
      <c r="N20" s="1113"/>
      <c r="O20" s="1113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1113"/>
    </row>
    <row r="21" customFormat="false" ht="14.25" hidden="false" customHeight="false" outlineLevel="0" collapsed="false">
      <c r="A21" s="1113"/>
      <c r="B21" s="1114"/>
      <c r="C21" s="1139" t="s">
        <v>837</v>
      </c>
      <c r="D21" s="1140"/>
      <c r="E21" s="1133"/>
      <c r="F21" s="1134"/>
      <c r="G21" s="1114"/>
      <c r="H21" s="1113"/>
      <c r="I21" s="1113"/>
      <c r="J21" s="1113"/>
      <c r="K21" s="1113"/>
      <c r="L21" s="1113"/>
      <c r="M21" s="1113"/>
      <c r="N21" s="1113"/>
      <c r="O21" s="1113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1113"/>
    </row>
    <row r="22" customFormat="false" ht="14.25" hidden="false" customHeight="false" outlineLevel="0" collapsed="false">
      <c r="A22" s="1113"/>
      <c r="B22" s="1114"/>
      <c r="C22" s="1139"/>
      <c r="D22" s="1135"/>
      <c r="E22" s="1133"/>
      <c r="F22" s="1134"/>
      <c r="G22" s="1114"/>
      <c r="H22" s="1113"/>
      <c r="I22" s="1113"/>
      <c r="J22" s="1113"/>
      <c r="K22" s="1113"/>
      <c r="L22" s="1113"/>
      <c r="M22" s="1113"/>
      <c r="N22" s="1113"/>
      <c r="O22" s="1113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1113"/>
    </row>
    <row r="23" customFormat="false" ht="14.25" hidden="false" customHeight="false" outlineLevel="0" collapsed="false">
      <c r="A23" s="1113"/>
      <c r="B23" s="1114"/>
      <c r="C23" s="1139" t="s">
        <v>838</v>
      </c>
      <c r="D23" s="1140"/>
      <c r="E23" s="1133"/>
      <c r="F23" s="1134"/>
      <c r="G23" s="1114"/>
      <c r="H23" s="1113"/>
      <c r="I23" s="1113"/>
      <c r="J23" s="1113"/>
      <c r="K23" s="1113"/>
      <c r="L23" s="1113"/>
      <c r="M23" s="1113"/>
      <c r="N23" s="1113"/>
      <c r="O23" s="1113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1113"/>
    </row>
    <row r="24" customFormat="false" ht="14.25" hidden="false" customHeight="false" outlineLevel="0" collapsed="false">
      <c r="A24" s="1113"/>
      <c r="B24" s="1114"/>
      <c r="C24" s="1139"/>
      <c r="D24" s="1135"/>
      <c r="E24" s="1133"/>
      <c r="F24" s="1134"/>
      <c r="G24" s="1114"/>
      <c r="H24" s="1113"/>
      <c r="I24" s="1113"/>
      <c r="J24" s="1113"/>
      <c r="K24" s="1113"/>
      <c r="L24" s="1113"/>
      <c r="M24" s="1113"/>
      <c r="N24" s="1113"/>
      <c r="O24" s="1113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1113"/>
    </row>
    <row r="25" customFormat="false" ht="14.25" hidden="false" customHeight="false" outlineLevel="0" collapsed="false">
      <c r="A25" s="1113"/>
      <c r="B25" s="1114"/>
      <c r="C25" s="1139" t="s">
        <v>839</v>
      </c>
      <c r="D25" s="1140" t="s">
        <v>840</v>
      </c>
      <c r="E25" s="1133" t="n">
        <v>180471</v>
      </c>
      <c r="F25" s="1134" t="n">
        <v>45961</v>
      </c>
      <c r="G25" s="1114"/>
      <c r="H25" s="1113"/>
      <c r="I25" s="1113"/>
      <c r="J25" s="1113"/>
      <c r="K25" s="1113"/>
      <c r="L25" s="1113"/>
      <c r="M25" s="1113"/>
      <c r="N25" s="1113"/>
      <c r="O25" s="1113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1113"/>
    </row>
    <row r="26" customFormat="false" ht="14.25" hidden="false" customHeight="false" outlineLevel="0" collapsed="false">
      <c r="A26" s="1113"/>
      <c r="B26" s="1114"/>
      <c r="C26" s="1139"/>
      <c r="D26" s="1135" t="s">
        <v>841</v>
      </c>
      <c r="E26" s="1133"/>
      <c r="F26" s="1134"/>
      <c r="G26" s="1114"/>
      <c r="H26" s="1113"/>
      <c r="I26" s="1113"/>
      <c r="J26" s="1113"/>
      <c r="K26" s="1113"/>
      <c r="L26" s="1113"/>
      <c r="M26" s="1113"/>
      <c r="N26" s="1113"/>
      <c r="O26" s="1113"/>
      <c r="P26" s="79" t="s">
        <v>174</v>
      </c>
      <c r="Q26" s="78"/>
      <c r="R26" s="78"/>
      <c r="S26" s="79" t="s">
        <v>83</v>
      </c>
      <c r="T26" s="79" t="s">
        <v>174</v>
      </c>
      <c r="U26" s="1113"/>
    </row>
    <row r="27" customFormat="false" ht="14.25" hidden="false" customHeight="false" outlineLevel="0" collapsed="false">
      <c r="A27" s="1113"/>
      <c r="B27" s="1114"/>
      <c r="C27" s="1139" t="s">
        <v>842</v>
      </c>
      <c r="D27" s="1140" t="s">
        <v>843</v>
      </c>
      <c r="E27" s="1133" t="n">
        <v>228422</v>
      </c>
      <c r="F27" s="1134" t="n">
        <v>45954</v>
      </c>
      <c r="G27" s="1114"/>
      <c r="H27" s="1113"/>
      <c r="I27" s="1113"/>
      <c r="J27" s="1113"/>
      <c r="K27" s="1113"/>
      <c r="L27" s="1113"/>
      <c r="M27" s="1113"/>
      <c r="N27" s="1113"/>
      <c r="O27" s="1113"/>
      <c r="P27" s="79" t="s">
        <v>177</v>
      </c>
      <c r="Q27" s="78"/>
      <c r="R27" s="78"/>
      <c r="S27" s="79" t="s">
        <v>85</v>
      </c>
      <c r="T27" s="79" t="s">
        <v>76</v>
      </c>
      <c r="U27" s="1113"/>
    </row>
    <row r="28" customFormat="false" ht="14.25" hidden="false" customHeight="false" outlineLevel="0" collapsed="false">
      <c r="A28" s="1113"/>
      <c r="B28" s="1114"/>
      <c r="C28" s="1139"/>
      <c r="D28" s="1135" t="s">
        <v>844</v>
      </c>
      <c r="E28" s="1133"/>
      <c r="F28" s="1134"/>
      <c r="G28" s="1114"/>
      <c r="H28" s="1113"/>
      <c r="I28" s="1113"/>
      <c r="J28" s="1113"/>
      <c r="K28" s="1113"/>
      <c r="L28" s="1113"/>
      <c r="M28" s="1113"/>
      <c r="N28" s="1113"/>
      <c r="O28" s="1113"/>
      <c r="P28" s="79" t="s">
        <v>178</v>
      </c>
      <c r="Q28" s="78"/>
      <c r="R28" s="78"/>
      <c r="S28" s="79" t="s">
        <v>86</v>
      </c>
      <c r="T28" s="79" t="s">
        <v>78</v>
      </c>
      <c r="U28" s="1113"/>
    </row>
    <row r="29" customFormat="false" ht="14.25" hidden="false" customHeight="false" outlineLevel="0" collapsed="false">
      <c r="A29" s="1113"/>
      <c r="B29" s="1114"/>
      <c r="C29" s="1139" t="s">
        <v>845</v>
      </c>
      <c r="D29" s="1140" t="s">
        <v>840</v>
      </c>
      <c r="E29" s="1133"/>
      <c r="F29" s="1134"/>
      <c r="G29" s="1114"/>
      <c r="H29" s="1113"/>
      <c r="I29" s="1113"/>
      <c r="J29" s="1113"/>
      <c r="K29" s="1113"/>
      <c r="L29" s="1113"/>
      <c r="M29" s="1113"/>
      <c r="N29" s="1113"/>
      <c r="O29" s="1113"/>
      <c r="P29" s="79" t="s">
        <v>179</v>
      </c>
      <c r="Q29" s="78"/>
      <c r="R29" s="78"/>
      <c r="S29" s="79" t="s">
        <v>87</v>
      </c>
      <c r="T29" s="79" t="s">
        <v>79</v>
      </c>
      <c r="U29" s="1113"/>
    </row>
    <row r="30" customFormat="false" ht="14.25" hidden="false" customHeight="false" outlineLevel="0" collapsed="false">
      <c r="A30" s="1113"/>
      <c r="B30" s="1114"/>
      <c r="C30" s="1139"/>
      <c r="D30" s="1135" t="s">
        <v>841</v>
      </c>
      <c r="E30" s="1133"/>
      <c r="F30" s="1134"/>
      <c r="G30" s="1114"/>
      <c r="H30" s="1113"/>
      <c r="I30" s="1113"/>
      <c r="J30" s="1113"/>
      <c r="K30" s="1113"/>
      <c r="L30" s="1113"/>
      <c r="M30" s="1113"/>
      <c r="N30" s="1113"/>
      <c r="O30" s="1113"/>
      <c r="P30" s="79" t="s">
        <v>180</v>
      </c>
      <c r="Q30" s="78"/>
      <c r="R30" s="78"/>
      <c r="S30" s="79" t="s">
        <v>91</v>
      </c>
      <c r="T30" s="79" t="s">
        <v>81</v>
      </c>
      <c r="U30" s="1113"/>
    </row>
    <row r="31" customFormat="false" ht="14.25" hidden="false" customHeight="false" outlineLevel="0" collapsed="false">
      <c r="A31" s="1113"/>
      <c r="B31" s="1114"/>
      <c r="C31" s="1139" t="s">
        <v>846</v>
      </c>
      <c r="D31" s="1140" t="s">
        <v>843</v>
      </c>
      <c r="E31" s="1133"/>
      <c r="F31" s="1134"/>
      <c r="G31" s="1114"/>
      <c r="H31" s="1113"/>
      <c r="I31" s="1113"/>
      <c r="J31" s="1113"/>
      <c r="K31" s="1113"/>
      <c r="L31" s="1113"/>
      <c r="M31" s="1113"/>
      <c r="N31" s="1113"/>
      <c r="O31" s="1113"/>
      <c r="P31" s="79" t="s">
        <v>181</v>
      </c>
      <c r="Q31" s="78"/>
      <c r="R31" s="78"/>
      <c r="S31" s="78"/>
      <c r="T31" s="79" t="s">
        <v>83</v>
      </c>
      <c r="U31" s="1113"/>
    </row>
    <row r="32" customFormat="false" ht="14.25" hidden="false" customHeight="false" outlineLevel="0" collapsed="false">
      <c r="A32" s="1113"/>
      <c r="B32" s="1114"/>
      <c r="C32" s="1139"/>
      <c r="D32" s="1135" t="s">
        <v>844</v>
      </c>
      <c r="E32" s="1133"/>
      <c r="F32" s="1134"/>
      <c r="G32" s="1114"/>
      <c r="H32" s="1113"/>
      <c r="I32" s="1113"/>
      <c r="J32" s="1113"/>
      <c r="K32" s="1113"/>
      <c r="L32" s="1113"/>
      <c r="M32" s="1113"/>
      <c r="N32" s="1113"/>
      <c r="O32" s="1113"/>
      <c r="P32" s="79" t="s">
        <v>76</v>
      </c>
      <c r="Q32" s="78"/>
      <c r="R32" s="78"/>
      <c r="S32" s="78"/>
      <c r="T32" s="79" t="s">
        <v>85</v>
      </c>
      <c r="U32" s="1113"/>
    </row>
    <row r="33" customFormat="false" ht="14.25" hidden="false" customHeight="false" outlineLevel="0" collapsed="false">
      <c r="A33" s="1113"/>
      <c r="B33" s="1114"/>
      <c r="C33" s="1139"/>
      <c r="D33" s="1140"/>
      <c r="E33" s="1133"/>
      <c r="F33" s="1134"/>
      <c r="G33" s="1114"/>
      <c r="H33" s="1113"/>
      <c r="I33" s="1113"/>
      <c r="J33" s="1113"/>
      <c r="K33" s="1113"/>
      <c r="L33" s="1113"/>
      <c r="M33" s="1113"/>
      <c r="N33" s="1113"/>
      <c r="O33" s="1113"/>
      <c r="P33" s="79" t="s">
        <v>78</v>
      </c>
      <c r="Q33" s="78"/>
      <c r="R33" s="78"/>
      <c r="S33" s="78"/>
      <c r="T33" s="79" t="s">
        <v>86</v>
      </c>
      <c r="U33" s="1113"/>
    </row>
    <row r="34" customFormat="false" ht="14.25" hidden="false" customHeight="false" outlineLevel="0" collapsed="false">
      <c r="A34" s="1113"/>
      <c r="B34" s="1114"/>
      <c r="C34" s="1139"/>
      <c r="D34" s="1135"/>
      <c r="E34" s="1133"/>
      <c r="F34" s="1134"/>
      <c r="G34" s="1114"/>
      <c r="H34" s="1113"/>
      <c r="I34" s="1113"/>
      <c r="J34" s="1113"/>
      <c r="K34" s="1113"/>
      <c r="L34" s="1113"/>
      <c r="M34" s="1113"/>
      <c r="N34" s="1113"/>
      <c r="O34" s="1113"/>
      <c r="P34" s="79" t="s">
        <v>79</v>
      </c>
      <c r="Q34" s="78"/>
      <c r="R34" s="78"/>
      <c r="S34" s="78"/>
      <c r="T34" s="79" t="s">
        <v>87</v>
      </c>
      <c r="U34" s="1113"/>
    </row>
    <row r="35" customFormat="false" ht="14.25" hidden="false" customHeight="false" outlineLevel="0" collapsed="false">
      <c r="A35" s="1113"/>
      <c r="B35" s="1114"/>
      <c r="C35" s="1139"/>
      <c r="D35" s="1140"/>
      <c r="E35" s="1133"/>
      <c r="F35" s="1134"/>
      <c r="G35" s="1114"/>
      <c r="H35" s="1113"/>
      <c r="I35" s="1113"/>
      <c r="J35" s="1113"/>
      <c r="K35" s="1113"/>
      <c r="L35" s="1113"/>
      <c r="M35" s="1113"/>
      <c r="N35" s="1113"/>
      <c r="O35" s="1113"/>
      <c r="P35" s="79" t="s">
        <v>81</v>
      </c>
      <c r="Q35" s="78"/>
      <c r="R35" s="78"/>
      <c r="S35" s="78"/>
      <c r="T35" s="79" t="s">
        <v>89</v>
      </c>
      <c r="U35" s="1113"/>
    </row>
    <row r="36" customFormat="false" ht="14.25" hidden="false" customHeight="false" outlineLevel="0" collapsed="false">
      <c r="A36" s="1113"/>
      <c r="B36" s="1114"/>
      <c r="C36" s="1139"/>
      <c r="D36" s="1135"/>
      <c r="E36" s="1133"/>
      <c r="F36" s="1134"/>
      <c r="G36" s="1114"/>
      <c r="H36" s="1113"/>
      <c r="I36" s="1113"/>
      <c r="J36" s="1113"/>
      <c r="K36" s="1113"/>
      <c r="L36" s="1113"/>
      <c r="M36" s="1113"/>
      <c r="N36" s="1113"/>
      <c r="O36" s="1113"/>
      <c r="P36" s="79" t="s">
        <v>83</v>
      </c>
      <c r="Q36" s="78"/>
      <c r="R36" s="78"/>
      <c r="S36" s="78"/>
      <c r="T36" s="79" t="s">
        <v>90</v>
      </c>
      <c r="U36" s="1113"/>
    </row>
    <row r="37" customFormat="false" ht="14.25" hidden="false" customHeight="false" outlineLevel="0" collapsed="false">
      <c r="A37" s="1113"/>
      <c r="B37" s="1114"/>
      <c r="C37" s="1139"/>
      <c r="D37" s="1140"/>
      <c r="E37" s="1133"/>
      <c r="F37" s="1134"/>
      <c r="G37" s="1114"/>
      <c r="H37" s="1113"/>
      <c r="I37" s="1113"/>
      <c r="J37" s="1113"/>
      <c r="K37" s="1113"/>
      <c r="L37" s="1113"/>
      <c r="M37" s="1113"/>
      <c r="N37" s="1113"/>
      <c r="O37" s="1113"/>
      <c r="P37" s="79" t="s">
        <v>85</v>
      </c>
      <c r="Q37" s="78"/>
      <c r="R37" s="78"/>
      <c r="S37" s="78"/>
      <c r="T37" s="79" t="s">
        <v>192</v>
      </c>
      <c r="U37" s="1113"/>
    </row>
    <row r="38" customFormat="false" ht="14.25" hidden="false" customHeight="false" outlineLevel="0" collapsed="false">
      <c r="A38" s="1113"/>
      <c r="B38" s="1114"/>
      <c r="C38" s="1139"/>
      <c r="D38" s="1135"/>
      <c r="E38" s="1133"/>
      <c r="F38" s="1134"/>
      <c r="G38" s="1114"/>
      <c r="H38" s="1113"/>
      <c r="I38" s="1113"/>
      <c r="J38" s="1113"/>
      <c r="K38" s="1113"/>
      <c r="L38" s="1113"/>
      <c r="M38" s="1113"/>
      <c r="N38" s="1113"/>
      <c r="O38" s="1113"/>
      <c r="P38" s="79" t="s">
        <v>86</v>
      </c>
      <c r="Q38" s="78"/>
      <c r="R38" s="78"/>
      <c r="S38" s="78"/>
      <c r="T38" s="79" t="s">
        <v>91</v>
      </c>
      <c r="U38" s="1113"/>
    </row>
    <row r="39" customFormat="false" ht="14.25" hidden="false" customHeight="false" outlineLevel="0" collapsed="false">
      <c r="A39" s="1113"/>
      <c r="B39" s="1114"/>
      <c r="C39" s="1139"/>
      <c r="D39" s="1140"/>
      <c r="E39" s="1133"/>
      <c r="F39" s="1134"/>
      <c r="G39" s="1114"/>
      <c r="H39" s="1113"/>
      <c r="I39" s="1113"/>
      <c r="J39" s="1113"/>
      <c r="K39" s="1113"/>
      <c r="L39" s="1113"/>
      <c r="M39" s="1113"/>
      <c r="N39" s="1113"/>
      <c r="O39" s="1113"/>
      <c r="P39" s="79" t="s">
        <v>87</v>
      </c>
      <c r="Q39" s="78"/>
      <c r="R39" s="78"/>
      <c r="S39" s="78"/>
      <c r="T39" s="79"/>
      <c r="U39" s="1113"/>
    </row>
    <row r="40" customFormat="false" ht="14.25" hidden="false" customHeight="false" outlineLevel="0" collapsed="false">
      <c r="A40" s="1113"/>
      <c r="B40" s="1114"/>
      <c r="C40" s="1139"/>
      <c r="D40" s="1135"/>
      <c r="E40" s="1133"/>
      <c r="F40" s="1134"/>
      <c r="G40" s="1114"/>
      <c r="H40" s="1113"/>
      <c r="I40" s="1113"/>
      <c r="J40" s="1113"/>
      <c r="K40" s="1113"/>
      <c r="L40" s="1113"/>
      <c r="M40" s="1113"/>
      <c r="N40" s="1113"/>
      <c r="O40" s="1113"/>
      <c r="P40" s="79" t="s">
        <v>89</v>
      </c>
      <c r="Q40" s="78"/>
      <c r="R40" s="78"/>
      <c r="S40" s="78"/>
      <c r="T40" s="78"/>
      <c r="U40" s="1113"/>
    </row>
    <row r="41" customFormat="false" ht="14.25" hidden="false" customHeight="false" outlineLevel="0" collapsed="false">
      <c r="A41" s="1113"/>
      <c r="B41" s="1114"/>
      <c r="C41" s="1139"/>
      <c r="D41" s="1140"/>
      <c r="E41" s="1133"/>
      <c r="F41" s="1134"/>
      <c r="G41" s="1114"/>
      <c r="H41" s="1113"/>
      <c r="I41" s="1113"/>
      <c r="J41" s="1113"/>
      <c r="K41" s="1113"/>
      <c r="L41" s="1113"/>
      <c r="M41" s="1113"/>
      <c r="N41" s="1113"/>
      <c r="O41" s="1113"/>
      <c r="P41" s="79" t="s">
        <v>90</v>
      </c>
      <c r="Q41" s="78"/>
      <c r="R41" s="78"/>
      <c r="S41" s="78"/>
      <c r="T41" s="117"/>
      <c r="U41" s="1113"/>
    </row>
    <row r="42" customFormat="false" ht="14.25" hidden="false" customHeight="false" outlineLevel="0" collapsed="false">
      <c r="A42" s="1113"/>
      <c r="B42" s="1114"/>
      <c r="C42" s="1139"/>
      <c r="D42" s="1135"/>
      <c r="E42" s="1133"/>
      <c r="F42" s="1134"/>
      <c r="G42" s="1114"/>
      <c r="H42" s="1113"/>
      <c r="I42" s="1113"/>
      <c r="J42" s="1113"/>
      <c r="K42" s="1113"/>
      <c r="L42" s="1113"/>
      <c r="M42" s="1113"/>
      <c r="N42" s="1113"/>
      <c r="O42" s="1113"/>
      <c r="P42" s="79" t="s">
        <v>192</v>
      </c>
      <c r="Q42" s="78"/>
      <c r="R42" s="78"/>
      <c r="S42" s="78"/>
      <c r="T42" s="78"/>
      <c r="U42" s="1113"/>
    </row>
    <row r="43" customFormat="false" ht="14.25" hidden="false" customHeight="false" outlineLevel="0" collapsed="false">
      <c r="A43" s="1113"/>
      <c r="B43" s="1114"/>
      <c r="C43" s="1139"/>
      <c r="D43" s="1140"/>
      <c r="E43" s="1133"/>
      <c r="F43" s="1134"/>
      <c r="G43" s="1114"/>
      <c r="H43" s="1113"/>
      <c r="I43" s="1113"/>
      <c r="J43" s="1113"/>
      <c r="K43" s="1113"/>
      <c r="L43" s="1113"/>
      <c r="M43" s="1113"/>
      <c r="N43" s="1113"/>
      <c r="O43" s="1113"/>
      <c r="P43" s="79" t="s">
        <v>91</v>
      </c>
      <c r="Q43" s="78"/>
      <c r="R43" s="78"/>
      <c r="S43" s="78"/>
      <c r="T43" s="78"/>
      <c r="U43" s="1113"/>
    </row>
    <row r="44" customFormat="false" ht="14.25" hidden="false" customHeight="false" outlineLevel="0" collapsed="false">
      <c r="A44" s="1113"/>
      <c r="B44" s="1114"/>
      <c r="C44" s="1139"/>
      <c r="D44" s="1135"/>
      <c r="E44" s="1133"/>
      <c r="F44" s="1134"/>
      <c r="G44" s="1114"/>
      <c r="H44" s="1113"/>
      <c r="I44" s="1113"/>
      <c r="J44" s="1113"/>
      <c r="K44" s="1113"/>
      <c r="L44" s="1113"/>
      <c r="M44" s="1113"/>
      <c r="N44" s="1113"/>
      <c r="O44" s="1113"/>
      <c r="P44" s="78"/>
      <c r="Q44" s="78"/>
      <c r="R44" s="78"/>
      <c r="S44" s="78"/>
      <c r="T44" s="78"/>
      <c r="U44" s="1113"/>
    </row>
    <row r="45" customFormat="false" ht="14.25" hidden="false" customHeight="false" outlineLevel="0" collapsed="false">
      <c r="A45" s="1113"/>
      <c r="B45" s="1114"/>
      <c r="C45" s="1139"/>
      <c r="D45" s="1140"/>
      <c r="E45" s="1133"/>
      <c r="F45" s="1134"/>
      <c r="G45" s="1114"/>
      <c r="H45" s="1141"/>
      <c r="I45" s="1141"/>
      <c r="J45" s="1141"/>
      <c r="K45" s="1141"/>
      <c r="L45" s="1141"/>
      <c r="M45" s="1141"/>
      <c r="N45" s="1141"/>
      <c r="O45" s="1141"/>
      <c r="P45" s="78"/>
      <c r="Q45" s="78"/>
      <c r="R45" s="78"/>
      <c r="S45" s="78"/>
      <c r="T45" s="78"/>
      <c r="U45" s="1113"/>
    </row>
    <row r="46" customFormat="false" ht="14.25" hidden="false" customHeight="false" outlineLevel="0" collapsed="false">
      <c r="A46" s="1113"/>
      <c r="B46" s="1114"/>
      <c r="C46" s="1139"/>
      <c r="D46" s="1135"/>
      <c r="E46" s="1133"/>
      <c r="F46" s="1134"/>
      <c r="G46" s="1114"/>
      <c r="H46" s="1141"/>
      <c r="I46" s="1141"/>
      <c r="J46" s="1141"/>
      <c r="K46" s="1141"/>
      <c r="L46" s="1141"/>
      <c r="M46" s="1141"/>
      <c r="N46" s="1141"/>
      <c r="O46" s="1141"/>
      <c r="Q46" s="78"/>
      <c r="R46" s="78"/>
      <c r="S46" s="78"/>
      <c r="T46" s="78"/>
      <c r="U46" s="1113"/>
    </row>
    <row r="47" customFormat="false" ht="14.25" hidden="false" customHeight="false" outlineLevel="0" collapsed="false">
      <c r="A47" s="1113"/>
      <c r="B47" s="1114"/>
      <c r="C47" s="1139"/>
      <c r="D47" s="1140"/>
      <c r="E47" s="1133"/>
      <c r="F47" s="1134"/>
      <c r="G47" s="1114"/>
      <c r="H47" s="1141"/>
      <c r="I47" s="1141"/>
      <c r="J47" s="1141"/>
      <c r="K47" s="1141"/>
      <c r="L47" s="1141"/>
      <c r="M47" s="1141"/>
      <c r="N47" s="1141"/>
      <c r="O47" s="1141"/>
      <c r="Q47" s="78"/>
      <c r="R47" s="78"/>
      <c r="S47" s="78"/>
      <c r="T47" s="78"/>
      <c r="U47" s="1113"/>
    </row>
    <row r="48" customFormat="false" ht="14.25" hidden="false" customHeight="false" outlineLevel="0" collapsed="false">
      <c r="A48" s="1113"/>
      <c r="B48" s="1114"/>
      <c r="C48" s="1139"/>
      <c r="D48" s="1135"/>
      <c r="E48" s="1133"/>
      <c r="F48" s="1134"/>
      <c r="G48" s="1114"/>
      <c r="H48" s="1141"/>
      <c r="I48" s="1141"/>
      <c r="J48" s="1141"/>
      <c r="K48" s="1141"/>
      <c r="L48" s="1141"/>
      <c r="M48" s="1141"/>
      <c r="N48" s="1141"/>
      <c r="O48" s="1141"/>
      <c r="S48" s="78"/>
      <c r="U48" s="1113"/>
    </row>
    <row r="49" customFormat="false" ht="14.25" hidden="false" customHeight="false" outlineLevel="0" collapsed="false">
      <c r="A49" s="1142"/>
      <c r="B49" s="1114"/>
      <c r="C49" s="1139"/>
      <c r="D49" s="1140"/>
      <c r="E49" s="1133"/>
      <c r="F49" s="1134"/>
      <c r="G49" s="1114"/>
      <c r="H49" s="1143"/>
      <c r="I49" s="1143"/>
      <c r="J49" s="1143"/>
      <c r="K49" s="1143"/>
      <c r="L49" s="1143"/>
      <c r="M49" s="1143"/>
      <c r="N49" s="1143"/>
      <c r="O49" s="1143"/>
      <c r="S49" s="78"/>
      <c r="U49" s="1142"/>
    </row>
    <row r="50" customFormat="false" ht="14.25" hidden="false" customHeight="false" outlineLevel="0" collapsed="false">
      <c r="A50" s="1113"/>
      <c r="B50" s="1114"/>
      <c r="C50" s="1139"/>
      <c r="D50" s="1135"/>
      <c r="E50" s="1133"/>
      <c r="F50" s="1134"/>
      <c r="G50" s="1114"/>
      <c r="H50" s="1141"/>
      <c r="I50" s="1141"/>
      <c r="J50" s="1141"/>
      <c r="K50" s="1141"/>
      <c r="L50" s="1141"/>
      <c r="M50" s="1141"/>
      <c r="N50" s="1141"/>
      <c r="O50" s="1141"/>
      <c r="U50" s="1113"/>
    </row>
    <row r="51" customFormat="false" ht="14.25" hidden="false" customHeight="false" outlineLevel="0" collapsed="false">
      <c r="A51" s="1113"/>
      <c r="B51" s="1114"/>
      <c r="C51" s="1139"/>
      <c r="D51" s="1140"/>
      <c r="E51" s="1133"/>
      <c r="F51" s="1134"/>
      <c r="G51" s="1114"/>
      <c r="H51" s="1141"/>
      <c r="I51" s="1141"/>
      <c r="J51" s="1141"/>
      <c r="K51" s="1141"/>
      <c r="L51" s="1141"/>
      <c r="M51" s="1141"/>
      <c r="N51" s="1141"/>
      <c r="O51" s="1141"/>
      <c r="U51" s="1113"/>
    </row>
    <row r="52" customFormat="false" ht="14.25" hidden="false" customHeight="false" outlineLevel="0" collapsed="false">
      <c r="A52" s="1113"/>
      <c r="B52" s="1114"/>
      <c r="C52" s="1139"/>
      <c r="D52" s="1135"/>
      <c r="E52" s="1133"/>
      <c r="F52" s="1134"/>
      <c r="G52" s="1114"/>
      <c r="H52" s="1113"/>
      <c r="I52" s="1113"/>
      <c r="J52" s="1113"/>
      <c r="K52" s="1113"/>
      <c r="L52" s="1113"/>
      <c r="M52" s="1113"/>
      <c r="N52" s="1113"/>
      <c r="O52" s="1113"/>
      <c r="U52" s="1113"/>
    </row>
    <row r="53" customFormat="false" ht="14.25" hidden="false" customHeight="false" outlineLevel="0" collapsed="false">
      <c r="A53" s="1113"/>
      <c r="B53" s="1114"/>
      <c r="C53" s="1144"/>
      <c r="D53" s="1145"/>
      <c r="E53" s="1146"/>
      <c r="F53" s="1147"/>
      <c r="G53" s="1114"/>
      <c r="H53" s="1113"/>
      <c r="I53" s="1113"/>
      <c r="J53" s="1113"/>
      <c r="K53" s="1113"/>
      <c r="L53" s="1113"/>
      <c r="M53" s="1113"/>
      <c r="N53" s="1113"/>
      <c r="O53" s="1113"/>
      <c r="U53" s="1113"/>
    </row>
    <row r="54" customFormat="false" ht="14.25" hidden="false" customHeight="false" outlineLevel="0" collapsed="false">
      <c r="A54" s="1113"/>
      <c r="B54" s="1114"/>
      <c r="C54" s="1144"/>
      <c r="D54" s="1148"/>
      <c r="E54" s="1146"/>
      <c r="F54" s="1147"/>
      <c r="G54" s="1114"/>
      <c r="H54" s="1113"/>
      <c r="I54" s="1113"/>
      <c r="J54" s="1113"/>
      <c r="K54" s="1113"/>
      <c r="L54" s="1113"/>
      <c r="M54" s="1113"/>
      <c r="N54" s="1113"/>
      <c r="O54" s="1113"/>
      <c r="U54" s="1113"/>
    </row>
    <row r="55" customFormat="false" ht="14.25" hidden="false" customHeight="false" outlineLevel="0" collapsed="false">
      <c r="A55" s="1113"/>
      <c r="B55" s="1149"/>
      <c r="C55" s="1150" t="s">
        <v>284</v>
      </c>
      <c r="D55" s="1150"/>
      <c r="E55" s="1150"/>
      <c r="F55" s="1150"/>
      <c r="G55" s="1149"/>
      <c r="H55" s="1113"/>
      <c r="I55" s="1113"/>
      <c r="J55" s="1113"/>
      <c r="K55" s="1113"/>
      <c r="L55" s="1113"/>
      <c r="M55" s="1113"/>
      <c r="N55" s="1113"/>
      <c r="O55" s="1113"/>
      <c r="U55" s="1113"/>
    </row>
    <row r="56" customFormat="false" ht="14.25" hidden="false" customHeight="false" outlineLevel="0" collapsed="false">
      <c r="A56" s="1113"/>
      <c r="B56" s="1114"/>
      <c r="C56" s="1151" t="s">
        <v>847</v>
      </c>
      <c r="D56" s="1151"/>
      <c r="E56" s="1151"/>
      <c r="F56" s="1151"/>
      <c r="G56" s="1114"/>
      <c r="H56" s="1113"/>
      <c r="I56" s="1113"/>
      <c r="J56" s="1113"/>
      <c r="K56" s="1113"/>
      <c r="L56" s="1113"/>
      <c r="M56" s="1113"/>
      <c r="N56" s="1113"/>
      <c r="O56" s="1113"/>
      <c r="U56" s="1113"/>
    </row>
    <row r="57" customFormat="false" ht="14.25" hidden="false" customHeight="false" outlineLevel="0" collapsed="false">
      <c r="A57" s="1113"/>
      <c r="B57" s="1113"/>
      <c r="C57" s="1113"/>
      <c r="D57" s="1113"/>
      <c r="E57" s="1113"/>
      <c r="F57" s="1113"/>
      <c r="G57" s="1113"/>
      <c r="H57" s="1113"/>
      <c r="I57" s="1113"/>
      <c r="J57" s="1113"/>
      <c r="K57" s="1113"/>
      <c r="L57" s="1113"/>
      <c r="M57" s="1113"/>
      <c r="N57" s="1113"/>
      <c r="O57" s="1113"/>
      <c r="U57" s="1113"/>
    </row>
    <row r="58" customFormat="false" ht="14.25" hidden="false" customHeight="false" outlineLevel="0" collapsed="false">
      <c r="A58" s="1113"/>
      <c r="B58" s="1113"/>
      <c r="C58" s="1152" t="s">
        <v>828</v>
      </c>
      <c r="D58" s="1113"/>
      <c r="E58" s="1113"/>
      <c r="F58" s="1113"/>
      <c r="G58" s="1113"/>
      <c r="H58" s="1113"/>
      <c r="I58" s="1113"/>
      <c r="J58" s="1113"/>
      <c r="K58" s="1113"/>
      <c r="L58" s="1113"/>
      <c r="M58" s="1113"/>
      <c r="N58" s="1113"/>
      <c r="O58" s="1113"/>
      <c r="U58" s="1113"/>
    </row>
    <row r="59" customFormat="false" ht="14.25" hidden="false" customHeight="false" outlineLevel="0" collapsed="false">
      <c r="A59" s="1113"/>
      <c r="B59" s="1113"/>
      <c r="C59" s="1113"/>
      <c r="D59" s="1113"/>
      <c r="E59" s="1113"/>
      <c r="F59" s="1113"/>
      <c r="G59" s="1113"/>
      <c r="H59" s="1113"/>
      <c r="I59" s="1113"/>
      <c r="J59" s="1113"/>
      <c r="K59" s="1113"/>
      <c r="L59" s="1113"/>
      <c r="M59" s="1113"/>
      <c r="N59" s="1113"/>
      <c r="O59" s="1113"/>
      <c r="U59" s="1113"/>
    </row>
    <row r="60" customFormat="false" ht="14.25" hidden="false" customHeight="false" outlineLevel="0" collapsed="false">
      <c r="A60" s="1113"/>
      <c r="B60" s="1113"/>
      <c r="C60" s="1141" t="n">
        <f aca="false">DATEVALUE(Contents!$C$64)</f>
        <v>46022</v>
      </c>
      <c r="D60" s="1113"/>
      <c r="E60" s="1113"/>
      <c r="F60" s="1113"/>
      <c r="G60" s="1113"/>
      <c r="H60" s="1113"/>
      <c r="I60" s="1113"/>
      <c r="J60" s="1113"/>
      <c r="K60" s="1113"/>
      <c r="L60" s="1113"/>
      <c r="M60" s="1113"/>
      <c r="N60" s="1113"/>
      <c r="O60" s="1113"/>
      <c r="U60" s="1113"/>
    </row>
    <row r="61" customFormat="false" ht="14.25" hidden="false" customHeight="false" outlineLevel="0" collapsed="false">
      <c r="A61" s="1113"/>
      <c r="B61" s="1113"/>
      <c r="C61" s="1113"/>
      <c r="D61" s="1113"/>
      <c r="E61" s="1113"/>
      <c r="F61" s="1113"/>
      <c r="G61" s="1113"/>
      <c r="H61" s="1113"/>
      <c r="I61" s="1113"/>
      <c r="J61" s="1113"/>
      <c r="K61" s="1113"/>
      <c r="L61" s="1113"/>
      <c r="M61" s="1113"/>
      <c r="N61" s="1113"/>
      <c r="O61" s="1113"/>
      <c r="U61" s="1113"/>
    </row>
    <row r="62" customFormat="false" ht="14.25" hidden="false" customHeight="false" outlineLevel="0" collapsed="false">
      <c r="A62" s="1113"/>
      <c r="B62" s="1113"/>
      <c r="C62" s="1113"/>
      <c r="D62" s="1113"/>
      <c r="E62" s="1113"/>
      <c r="F62" s="1113"/>
      <c r="G62" s="1113"/>
      <c r="H62" s="1113"/>
      <c r="I62" s="1113"/>
      <c r="J62" s="1113"/>
      <c r="K62" s="1113"/>
      <c r="L62" s="1113"/>
      <c r="M62" s="1113"/>
      <c r="N62" s="1113"/>
      <c r="O62" s="1113"/>
      <c r="U62" s="1113"/>
    </row>
  </sheetData>
  <sheetProtection algorithmName="SHA-512" hashValue="DgonuPJ/tmuvMcNzBrwLLNySdD4agqKihp5rVWOiJTn6nOjLX4F9JApSTsHyrGKNdalApMciJnL4u/Ks8f9gUg==" saltValue="hIMASNxj/5X94DRIY5eK+g==" spinCount="100000" sheet="true" objects="true" scenarios="true"/>
  <mergeCells count="64">
    <mergeCell ref="C3:F3"/>
    <mergeCell ref="C4:F4"/>
    <mergeCell ref="C6:F6"/>
    <mergeCell ref="C8:F8"/>
    <mergeCell ref="C15:C16"/>
    <mergeCell ref="C17:C18"/>
    <mergeCell ref="E17:E18"/>
    <mergeCell ref="F17:F18"/>
    <mergeCell ref="C19:C20"/>
    <mergeCell ref="E19:E20"/>
    <mergeCell ref="F19:F20"/>
    <mergeCell ref="C21:C22"/>
    <mergeCell ref="E21:E22"/>
    <mergeCell ref="F21:F22"/>
    <mergeCell ref="C23:C24"/>
    <mergeCell ref="E23:E24"/>
    <mergeCell ref="F23:F24"/>
    <mergeCell ref="C25:C26"/>
    <mergeCell ref="E25:E26"/>
    <mergeCell ref="F25:F26"/>
    <mergeCell ref="C27:C28"/>
    <mergeCell ref="E27:E28"/>
    <mergeCell ref="F27:F28"/>
    <mergeCell ref="C29:C30"/>
    <mergeCell ref="E29:E30"/>
    <mergeCell ref="F29:F30"/>
    <mergeCell ref="C31:C32"/>
    <mergeCell ref="E31:E32"/>
    <mergeCell ref="F31:F32"/>
    <mergeCell ref="C33:C34"/>
    <mergeCell ref="E33:E34"/>
    <mergeCell ref="F33:F34"/>
    <mergeCell ref="C35:C36"/>
    <mergeCell ref="E35:E36"/>
    <mergeCell ref="F35:F36"/>
    <mergeCell ref="C37:C38"/>
    <mergeCell ref="E37:E38"/>
    <mergeCell ref="F37:F38"/>
    <mergeCell ref="C39:C40"/>
    <mergeCell ref="E39:E40"/>
    <mergeCell ref="F39:F40"/>
    <mergeCell ref="C41:C42"/>
    <mergeCell ref="E41:E42"/>
    <mergeCell ref="F41:F42"/>
    <mergeCell ref="C43:C44"/>
    <mergeCell ref="E43:E44"/>
    <mergeCell ref="F43:F44"/>
    <mergeCell ref="C45:C46"/>
    <mergeCell ref="E45:E46"/>
    <mergeCell ref="F45:F46"/>
    <mergeCell ref="C47:C48"/>
    <mergeCell ref="E47:E48"/>
    <mergeCell ref="F47:F48"/>
    <mergeCell ref="C49:C50"/>
    <mergeCell ref="E49:E50"/>
    <mergeCell ref="F49:F50"/>
    <mergeCell ref="C51:C52"/>
    <mergeCell ref="E51:E52"/>
    <mergeCell ref="F51:F52"/>
    <mergeCell ref="C53:C54"/>
    <mergeCell ref="E53:E54"/>
    <mergeCell ref="F53:F54"/>
    <mergeCell ref="C55:F55"/>
    <mergeCell ref="C56:F56"/>
  </mergeCells>
  <conditionalFormatting sqref="F17:F54">
    <cfRule type="expression" priority="2" aboveAverage="0" equalAverage="0" bottom="0" percent="0" rank="0" text="" dxfId="37">
      <formula>IF(OR(ISBLANK($F17),ISBLANK($C$60)),0, IF($F17&lt;$C$60,1,0))</formula>
    </cfRule>
    <cfRule type="expression" priority="3" aboveAverage="0" equalAverage="0" bottom="0" percent="0" rank="0" text="" dxfId="38">
      <formula>IF(OR(ISBLANK($F17),ISBLANK($C$60)),0,IF(DATE(YEAR($F17),MONTH($F17)-2,DAY($F17))&lt;$C$60,1,0))</formula>
    </cfRule>
  </conditionalFormatting>
  <dataValidations count="4">
    <dataValidation allowBlank="true" error="Please use dropdown list." errorStyle="stop" operator="between" showDropDown="false" showErrorMessage="true" showInputMessage="true" sqref="C11:C13" type="list">
      <formula1>$C$58:$C$59</formula1>
      <formula2>0</formula2>
    </dataValidation>
    <dataValidation allowBlank="true" error="Please enter a valid date." errorStyle="stop" operator="greaterThan" showDropDown="false" showErrorMessage="true" showInputMessage="true" sqref="F19:F20" type="none">
      <formula1>0</formula1>
      <formula2>0</formula2>
    </dataValidation>
    <dataValidation allowBlank="true" error="Enter a whole quantity greater than zero." errorStyle="stop" operator="greaterThan" showDropDown="false" showErrorMessage="true" showInputMessage="true" sqref="E19:E20" type="none">
      <formula1>0</formula1>
      <formula2>0</formula2>
    </dataValidation>
    <dataValidation allowBlank="true" error="Please enter a valid date." errorStyle="stop" operator="greaterThan" showDropDown="false" showErrorMessage="true" showInputMessage="true" sqref="F17:F18 F21:F54" type="date">
      <formula1>36526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6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9" activeCellId="0" sqref="D19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3" min="1" style="1" width="3.62"/>
    <col collapsed="false" customWidth="true" hidden="false" outlineLevel="0" max="4" min="4" style="1" width="30.62"/>
    <col collapsed="false" customWidth="true" hidden="false" outlineLevel="0" max="5" min="5" style="1" width="60.62"/>
    <col collapsed="false" customWidth="true" hidden="false" outlineLevel="0" max="6" min="6" style="1" width="20.62"/>
    <col collapsed="false" customWidth="true" hidden="false" outlineLevel="0" max="8" min="7" style="1" width="3.62"/>
    <col collapsed="false" customWidth="true" hidden="true" outlineLevel="0" max="15" min="9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1153"/>
      <c r="B1" s="1113"/>
      <c r="C1" s="1113"/>
      <c r="D1" s="1113"/>
      <c r="E1" s="1154"/>
      <c r="F1" s="1113"/>
      <c r="G1" s="1113"/>
      <c r="H1" s="1113"/>
      <c r="I1" s="1113"/>
      <c r="J1" s="1113"/>
      <c r="K1" s="1113"/>
      <c r="L1" s="1113"/>
      <c r="M1" s="1113"/>
      <c r="N1" s="1113"/>
      <c r="O1" s="111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1113"/>
    </row>
    <row r="2" customFormat="false" ht="14.25" hidden="false" customHeight="false" outlineLevel="0" collapsed="false">
      <c r="A2" s="1113"/>
      <c r="B2" s="1114"/>
      <c r="C2" s="81" t="str">
        <f aca="false">Contents!B59</f>
        <v>Version: AS L 6 LARGE locked LOCAL</v>
      </c>
      <c r="D2" s="81"/>
      <c r="E2" s="1118"/>
      <c r="F2" s="1114"/>
      <c r="G2" s="1114"/>
      <c r="H2" s="1113"/>
      <c r="I2" s="1113"/>
      <c r="J2" s="1113"/>
      <c r="K2" s="1113"/>
      <c r="L2" s="1113"/>
      <c r="M2" s="1113"/>
      <c r="N2" s="1113"/>
      <c r="O2" s="1113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1113"/>
    </row>
    <row r="3" customFormat="false" ht="14.25" hidden="false" customHeight="false" outlineLevel="0" collapsed="false">
      <c r="A3" s="1115"/>
      <c r="B3" s="1116"/>
      <c r="C3" s="1117" t="str">
        <f aca="false">Contents!$E$3</f>
        <v>THE SOCIETY FOR CREATIVE ANACHRONISM, INC.</v>
      </c>
      <c r="D3" s="1117"/>
      <c r="E3" s="1117"/>
      <c r="F3" s="1117"/>
      <c r="G3" s="1116"/>
      <c r="H3" s="1115"/>
      <c r="I3" s="1115"/>
      <c r="J3" s="1115"/>
      <c r="K3" s="1115"/>
      <c r="L3" s="1115"/>
      <c r="M3" s="1115"/>
      <c r="N3" s="1115"/>
      <c r="O3" s="111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1115"/>
    </row>
    <row r="4" customFormat="false" ht="14.25" hidden="false" customHeight="false" outlineLevel="0" collapsed="false">
      <c r="A4" s="1113"/>
      <c r="B4" s="1116"/>
      <c r="C4" s="1117" t="str">
        <f aca="false">Contents!$E$4</f>
        <v>FINANCIAL REPORT</v>
      </c>
      <c r="D4" s="1117"/>
      <c r="E4" s="1117"/>
      <c r="F4" s="1117"/>
      <c r="G4" s="1116"/>
      <c r="H4" s="1113"/>
      <c r="I4" s="1113"/>
      <c r="J4" s="1113"/>
      <c r="K4" s="1113"/>
      <c r="L4" s="1113"/>
      <c r="M4" s="1113"/>
      <c r="N4" s="1113"/>
      <c r="O4" s="111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1113"/>
    </row>
    <row r="5" customFormat="false" ht="14.25" hidden="false" customHeight="false" outlineLevel="0" collapsed="false">
      <c r="A5" s="1113"/>
      <c r="B5" s="1114"/>
      <c r="C5" s="1114"/>
      <c r="D5" s="1118"/>
      <c r="E5" s="1118"/>
      <c r="F5" s="1118"/>
      <c r="G5" s="1114"/>
      <c r="H5" s="1113"/>
      <c r="I5" s="1113"/>
      <c r="J5" s="1113"/>
      <c r="K5" s="1113"/>
      <c r="L5" s="1113"/>
      <c r="M5" s="1113"/>
      <c r="N5" s="1113"/>
      <c r="O5" s="111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1113"/>
    </row>
    <row r="6" customFormat="false" ht="14.25" hidden="false" customHeight="false" outlineLevel="0" collapsed="false">
      <c r="A6" s="1113"/>
      <c r="B6" s="1114"/>
      <c r="C6" s="1114"/>
      <c r="D6" s="1119" t="str">
        <f aca="false">Contents!B58</f>
        <v>Branch:   SCA, Inc.- Middle Kingdom                                               Period:  1/01/2025             to     12/31/2025            .</v>
      </c>
      <c r="E6" s="1119"/>
      <c r="F6" s="1119"/>
      <c r="G6" s="1114"/>
      <c r="H6" s="1113"/>
      <c r="I6" s="1113"/>
      <c r="J6" s="1113"/>
      <c r="K6" s="1113"/>
      <c r="L6" s="1113"/>
      <c r="M6" s="1113"/>
      <c r="N6" s="1113"/>
      <c r="O6" s="1113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1113"/>
    </row>
    <row r="7" customFormat="false" ht="14.25" hidden="false" customHeight="false" outlineLevel="0" collapsed="false">
      <c r="A7" s="1113"/>
      <c r="B7" s="1114"/>
      <c r="C7" s="1114"/>
      <c r="D7" s="1114"/>
      <c r="E7" s="1118"/>
      <c r="F7" s="1114"/>
      <c r="G7" s="1114"/>
      <c r="H7" s="1113"/>
      <c r="I7" s="1113"/>
      <c r="J7" s="1113"/>
      <c r="K7" s="1113"/>
      <c r="L7" s="1113"/>
      <c r="M7" s="1113"/>
      <c r="N7" s="1113"/>
      <c r="O7" s="111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1113"/>
    </row>
    <row r="8" customFormat="false" ht="17.35" hidden="false" customHeight="false" outlineLevel="0" collapsed="false">
      <c r="A8" s="1113"/>
      <c r="B8" s="1114"/>
      <c r="C8" s="1114"/>
      <c r="D8" s="1120" t="s">
        <v>848</v>
      </c>
      <c r="E8" s="1120"/>
      <c r="F8" s="1120"/>
      <c r="G8" s="1114"/>
      <c r="H8" s="1113"/>
      <c r="I8" s="1113"/>
      <c r="J8" s="1113"/>
      <c r="K8" s="1113"/>
      <c r="L8" s="1113"/>
      <c r="M8" s="1113"/>
      <c r="N8" s="1113"/>
      <c r="O8" s="1113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1113"/>
    </row>
    <row r="9" customFormat="false" ht="14.25" hidden="false" customHeight="false" outlineLevel="0" collapsed="false">
      <c r="A9" s="1113"/>
      <c r="B9" s="1114"/>
      <c r="C9" s="1114"/>
      <c r="D9" s="1114" t="s">
        <v>849</v>
      </c>
      <c r="E9" s="1118"/>
      <c r="F9" s="1114"/>
      <c r="G9" s="1114"/>
      <c r="H9" s="1113"/>
      <c r="I9" s="1113"/>
      <c r="J9" s="1113"/>
      <c r="K9" s="1113"/>
      <c r="L9" s="1113"/>
      <c r="M9" s="1113"/>
      <c r="N9" s="1113"/>
      <c r="O9" s="1113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1113"/>
    </row>
    <row r="10" customFormat="false" ht="14.25" hidden="false" customHeight="false" outlineLevel="0" collapsed="false">
      <c r="A10" s="1113"/>
      <c r="B10" s="1114"/>
      <c r="C10" s="1114"/>
      <c r="D10" s="1114" t="s">
        <v>850</v>
      </c>
      <c r="E10" s="1118"/>
      <c r="F10" s="1114"/>
      <c r="G10" s="1114"/>
      <c r="H10" s="1113"/>
      <c r="I10" s="1113"/>
      <c r="J10" s="1113"/>
      <c r="K10" s="1113"/>
      <c r="L10" s="1113"/>
      <c r="M10" s="1113"/>
      <c r="N10" s="1113"/>
      <c r="O10" s="1113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113"/>
    </row>
    <row r="11" customFormat="false" ht="15" hidden="false" customHeight="false" outlineLevel="0" collapsed="false">
      <c r="A11" s="1113"/>
      <c r="B11" s="1114"/>
      <c r="C11" s="1114"/>
      <c r="D11" s="1155" t="s">
        <v>851</v>
      </c>
      <c r="E11" s="1155"/>
      <c r="F11" s="1156" t="n">
        <f aca="false">BALANCE_3!$H$19+BALANCE_3!$H$20</f>
        <v>204719.69</v>
      </c>
      <c r="G11" s="1114"/>
      <c r="H11" s="1113"/>
      <c r="I11" s="1113"/>
      <c r="J11" s="1113"/>
      <c r="K11" s="1113"/>
      <c r="L11" s="1113"/>
      <c r="M11" s="1113"/>
      <c r="N11" s="1113"/>
      <c r="O11" s="1113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113"/>
    </row>
    <row r="12" customFormat="false" ht="14.25" hidden="false" customHeight="false" outlineLevel="0" collapsed="false">
      <c r="A12" s="1113"/>
      <c r="B12" s="1157"/>
      <c r="C12" s="1157"/>
      <c r="D12" s="1158"/>
      <c r="E12" s="1159"/>
      <c r="F12" s="1160"/>
      <c r="G12" s="1157"/>
      <c r="H12" s="1113"/>
      <c r="I12" s="1113"/>
      <c r="J12" s="1113"/>
      <c r="K12" s="1113"/>
      <c r="L12" s="1113"/>
      <c r="M12" s="1113"/>
      <c r="N12" s="1113"/>
      <c r="O12" s="1113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113"/>
    </row>
    <row r="13" customFormat="false" ht="14.25" hidden="false" customHeight="false" outlineLevel="0" collapsed="false">
      <c r="A13" s="1113"/>
      <c r="B13" s="1114"/>
      <c r="C13" s="1114"/>
      <c r="D13" s="1161" t="s">
        <v>852</v>
      </c>
      <c r="E13" s="1162" t="s">
        <v>853</v>
      </c>
      <c r="F13" s="1130" t="s">
        <v>854</v>
      </c>
      <c r="G13" s="1114"/>
      <c r="H13" s="1113"/>
      <c r="I13" s="1113"/>
      <c r="J13" s="1113"/>
      <c r="K13" s="1113"/>
      <c r="L13" s="1113"/>
      <c r="M13" s="1113"/>
      <c r="N13" s="1113"/>
      <c r="O13" s="1113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113"/>
    </row>
    <row r="14" customFormat="false" ht="15" hidden="false" customHeight="false" outlineLevel="0" collapsed="false">
      <c r="A14" s="1113"/>
      <c r="B14" s="1114"/>
      <c r="C14" s="1163" t="n">
        <v>1</v>
      </c>
      <c r="D14" s="1164" t="s">
        <v>855</v>
      </c>
      <c r="E14" s="1164" t="s">
        <v>856</v>
      </c>
      <c r="F14" s="1165" t="n">
        <f aca="false">+F11-1064.24</f>
        <v>203655.45</v>
      </c>
      <c r="G14" s="1114"/>
      <c r="H14" s="1113"/>
      <c r="I14" s="1113"/>
      <c r="J14" s="1113"/>
      <c r="K14" s="1113"/>
      <c r="L14" s="1113"/>
      <c r="M14" s="1113"/>
      <c r="N14" s="1113"/>
      <c r="O14" s="1113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113"/>
    </row>
    <row r="15" customFormat="false" ht="15" hidden="false" customHeight="false" outlineLevel="0" collapsed="false">
      <c r="A15" s="1113"/>
      <c r="B15" s="1114"/>
      <c r="C15" s="1166" t="n">
        <v>2</v>
      </c>
      <c r="D15" s="1167" t="s">
        <v>857</v>
      </c>
      <c r="E15" s="1167" t="s">
        <v>858</v>
      </c>
      <c r="F15" s="1168" t="n">
        <v>1064.24</v>
      </c>
      <c r="G15" s="1114"/>
      <c r="H15" s="1113"/>
      <c r="I15" s="1113"/>
      <c r="J15" s="1113"/>
      <c r="K15" s="1113"/>
      <c r="L15" s="1113"/>
      <c r="M15" s="1113"/>
      <c r="N15" s="1113"/>
      <c r="O15" s="1113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113"/>
    </row>
    <row r="16" customFormat="false" ht="15" hidden="false" customHeight="false" outlineLevel="0" collapsed="false">
      <c r="A16" s="1113"/>
      <c r="B16" s="1114"/>
      <c r="C16" s="1166" t="n">
        <v>3</v>
      </c>
      <c r="D16" s="1167"/>
      <c r="E16" s="1167"/>
      <c r="F16" s="1168"/>
      <c r="G16" s="1114"/>
      <c r="H16" s="1113"/>
      <c r="I16" s="1113"/>
      <c r="J16" s="1113"/>
      <c r="K16" s="1113"/>
      <c r="L16" s="1113"/>
      <c r="M16" s="1113"/>
      <c r="N16" s="1113"/>
      <c r="O16" s="1113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1113"/>
    </row>
    <row r="17" customFormat="false" ht="15" hidden="false" customHeight="false" outlineLevel="0" collapsed="false">
      <c r="A17" s="1113"/>
      <c r="B17" s="1114"/>
      <c r="C17" s="1166" t="n">
        <v>4</v>
      </c>
      <c r="D17" s="1167"/>
      <c r="E17" s="1167"/>
      <c r="F17" s="1168"/>
      <c r="G17" s="1114"/>
      <c r="H17" s="1113"/>
      <c r="I17" s="1113"/>
      <c r="J17" s="1113"/>
      <c r="K17" s="1113"/>
      <c r="L17" s="1113"/>
      <c r="M17" s="1113"/>
      <c r="N17" s="1113"/>
      <c r="O17" s="111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1113"/>
    </row>
    <row r="18" customFormat="false" ht="15" hidden="false" customHeight="false" outlineLevel="0" collapsed="false">
      <c r="A18" s="1113"/>
      <c r="B18" s="1114"/>
      <c r="C18" s="1166" t="n">
        <v>5</v>
      </c>
      <c r="D18" s="1167"/>
      <c r="E18" s="1167"/>
      <c r="F18" s="1168"/>
      <c r="G18" s="1114"/>
      <c r="H18" s="1113"/>
      <c r="I18" s="1113"/>
      <c r="J18" s="1113"/>
      <c r="K18" s="1113"/>
      <c r="L18" s="1113"/>
      <c r="M18" s="1113"/>
      <c r="N18" s="1113"/>
      <c r="O18" s="1113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1113"/>
    </row>
    <row r="19" customFormat="false" ht="15" hidden="false" customHeight="false" outlineLevel="0" collapsed="false">
      <c r="A19" s="1113"/>
      <c r="B19" s="1114"/>
      <c r="C19" s="1166" t="n">
        <v>6</v>
      </c>
      <c r="D19" s="1167"/>
      <c r="E19" s="1167"/>
      <c r="F19" s="1168"/>
      <c r="G19" s="1114"/>
      <c r="H19" s="1113"/>
      <c r="I19" s="1113"/>
      <c r="J19" s="1113"/>
      <c r="K19" s="1113"/>
      <c r="L19" s="1113"/>
      <c r="M19" s="1113"/>
      <c r="N19" s="1113"/>
      <c r="O19" s="1113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1113"/>
    </row>
    <row r="20" customFormat="false" ht="15" hidden="false" customHeight="false" outlineLevel="0" collapsed="false">
      <c r="A20" s="1113"/>
      <c r="B20" s="1114"/>
      <c r="C20" s="1166" t="n">
        <v>7</v>
      </c>
      <c r="D20" s="1167"/>
      <c r="E20" s="1167"/>
      <c r="F20" s="1168"/>
      <c r="G20" s="1114"/>
      <c r="H20" s="1113"/>
      <c r="I20" s="1113"/>
      <c r="J20" s="1113"/>
      <c r="K20" s="1113"/>
      <c r="L20" s="1113"/>
      <c r="M20" s="1113"/>
      <c r="N20" s="1113"/>
      <c r="O20" s="1113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1113"/>
    </row>
    <row r="21" customFormat="false" ht="15" hidden="false" customHeight="false" outlineLevel="0" collapsed="false">
      <c r="A21" s="1113"/>
      <c r="B21" s="1114"/>
      <c r="C21" s="1166" t="n">
        <v>8</v>
      </c>
      <c r="D21" s="1167"/>
      <c r="E21" s="1167"/>
      <c r="F21" s="1168"/>
      <c r="G21" s="1114"/>
      <c r="H21" s="1113"/>
      <c r="I21" s="1113"/>
      <c r="J21" s="1113"/>
      <c r="K21" s="1113"/>
      <c r="L21" s="1113"/>
      <c r="M21" s="1113"/>
      <c r="N21" s="1113"/>
      <c r="O21" s="1113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1113"/>
    </row>
    <row r="22" customFormat="false" ht="15" hidden="false" customHeight="false" outlineLevel="0" collapsed="false">
      <c r="A22" s="1113"/>
      <c r="B22" s="1114"/>
      <c r="C22" s="1166" t="n">
        <v>9</v>
      </c>
      <c r="D22" s="1167"/>
      <c r="E22" s="1167"/>
      <c r="F22" s="1168"/>
      <c r="G22" s="1114"/>
      <c r="H22" s="1113"/>
      <c r="I22" s="1113"/>
      <c r="J22" s="1113"/>
      <c r="K22" s="1113"/>
      <c r="L22" s="1113"/>
      <c r="M22" s="1113"/>
      <c r="N22" s="1113"/>
      <c r="O22" s="1113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1113"/>
    </row>
    <row r="23" customFormat="false" ht="15" hidden="false" customHeight="false" outlineLevel="0" collapsed="false">
      <c r="A23" s="1113"/>
      <c r="B23" s="1114"/>
      <c r="C23" s="1166" t="n">
        <v>10</v>
      </c>
      <c r="D23" s="1167"/>
      <c r="E23" s="1167"/>
      <c r="F23" s="1168"/>
      <c r="G23" s="1114"/>
      <c r="H23" s="1113"/>
      <c r="I23" s="1113"/>
      <c r="J23" s="1113"/>
      <c r="K23" s="1113"/>
      <c r="L23" s="1113"/>
      <c r="M23" s="1113"/>
      <c r="N23" s="1113"/>
      <c r="O23" s="1113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1113"/>
    </row>
    <row r="24" customFormat="false" ht="15" hidden="false" customHeight="false" outlineLevel="0" collapsed="false">
      <c r="A24" s="1113"/>
      <c r="B24" s="1114"/>
      <c r="C24" s="1166" t="n">
        <v>11</v>
      </c>
      <c r="D24" s="1167"/>
      <c r="E24" s="1167"/>
      <c r="F24" s="1168"/>
      <c r="G24" s="1114"/>
      <c r="H24" s="1113"/>
      <c r="I24" s="1113"/>
      <c r="J24" s="1113"/>
      <c r="K24" s="1113"/>
      <c r="L24" s="1113"/>
      <c r="M24" s="1113"/>
      <c r="N24" s="1113"/>
      <c r="O24" s="1113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1113"/>
    </row>
    <row r="25" customFormat="false" ht="15" hidden="false" customHeight="false" outlineLevel="0" collapsed="false">
      <c r="A25" s="1113"/>
      <c r="B25" s="1114"/>
      <c r="C25" s="1166" t="n">
        <v>12</v>
      </c>
      <c r="D25" s="1167"/>
      <c r="E25" s="1167"/>
      <c r="F25" s="1168"/>
      <c r="G25" s="1114"/>
      <c r="H25" s="1113"/>
      <c r="I25" s="1113"/>
      <c r="J25" s="1113"/>
      <c r="K25" s="1113"/>
      <c r="L25" s="1113"/>
      <c r="M25" s="1113"/>
      <c r="N25" s="1113"/>
      <c r="O25" s="1113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1113"/>
    </row>
    <row r="26" customFormat="false" ht="15" hidden="false" customHeight="false" outlineLevel="0" collapsed="false">
      <c r="A26" s="1113"/>
      <c r="B26" s="1114"/>
      <c r="C26" s="1166" t="n">
        <v>13</v>
      </c>
      <c r="D26" s="1167"/>
      <c r="E26" s="1167"/>
      <c r="F26" s="1168"/>
      <c r="G26" s="1114"/>
      <c r="H26" s="1113"/>
      <c r="I26" s="1113"/>
      <c r="J26" s="1113"/>
      <c r="K26" s="1113"/>
      <c r="L26" s="1113"/>
      <c r="M26" s="1113"/>
      <c r="N26" s="1113"/>
      <c r="O26" s="1113"/>
      <c r="P26" s="79" t="s">
        <v>174</v>
      </c>
      <c r="Q26" s="78"/>
      <c r="R26" s="78"/>
      <c r="S26" s="79" t="s">
        <v>83</v>
      </c>
      <c r="T26" s="79" t="s">
        <v>174</v>
      </c>
      <c r="U26" s="1113"/>
    </row>
    <row r="27" customFormat="false" ht="15" hidden="false" customHeight="false" outlineLevel="0" collapsed="false">
      <c r="A27" s="1113"/>
      <c r="B27" s="1114"/>
      <c r="C27" s="1166" t="n">
        <v>14</v>
      </c>
      <c r="D27" s="1167"/>
      <c r="E27" s="1167"/>
      <c r="F27" s="1168"/>
      <c r="G27" s="1114"/>
      <c r="H27" s="1113"/>
      <c r="I27" s="1113"/>
      <c r="J27" s="1113"/>
      <c r="K27" s="1113"/>
      <c r="L27" s="1113"/>
      <c r="M27" s="1113"/>
      <c r="N27" s="1113"/>
      <c r="O27" s="1113"/>
      <c r="P27" s="79" t="s">
        <v>177</v>
      </c>
      <c r="Q27" s="78"/>
      <c r="R27" s="78"/>
      <c r="S27" s="79" t="s">
        <v>85</v>
      </c>
      <c r="T27" s="79" t="s">
        <v>76</v>
      </c>
      <c r="U27" s="1113"/>
    </row>
    <row r="28" customFormat="false" ht="15" hidden="false" customHeight="false" outlineLevel="0" collapsed="false">
      <c r="A28" s="1113"/>
      <c r="B28" s="1114"/>
      <c r="C28" s="1166" t="n">
        <v>15</v>
      </c>
      <c r="D28" s="1167"/>
      <c r="E28" s="1167"/>
      <c r="F28" s="1168"/>
      <c r="G28" s="1114"/>
      <c r="H28" s="1113"/>
      <c r="I28" s="1113"/>
      <c r="J28" s="1113"/>
      <c r="K28" s="1113"/>
      <c r="L28" s="1113"/>
      <c r="M28" s="1113"/>
      <c r="N28" s="1113"/>
      <c r="O28" s="1113"/>
      <c r="P28" s="79" t="s">
        <v>178</v>
      </c>
      <c r="Q28" s="78"/>
      <c r="R28" s="78"/>
      <c r="S28" s="79" t="s">
        <v>86</v>
      </c>
      <c r="T28" s="79" t="s">
        <v>78</v>
      </c>
      <c r="U28" s="1113"/>
    </row>
    <row r="29" customFormat="false" ht="15" hidden="false" customHeight="false" outlineLevel="0" collapsed="false">
      <c r="A29" s="1113"/>
      <c r="B29" s="1114"/>
      <c r="C29" s="1166" t="n">
        <v>16</v>
      </c>
      <c r="D29" s="1167"/>
      <c r="E29" s="1167"/>
      <c r="F29" s="1168"/>
      <c r="G29" s="1114"/>
      <c r="H29" s="1113"/>
      <c r="I29" s="1113"/>
      <c r="J29" s="1113"/>
      <c r="K29" s="1113"/>
      <c r="L29" s="1113"/>
      <c r="M29" s="1113"/>
      <c r="N29" s="1113"/>
      <c r="O29" s="1113"/>
      <c r="P29" s="79" t="s">
        <v>179</v>
      </c>
      <c r="Q29" s="78"/>
      <c r="R29" s="78"/>
      <c r="S29" s="79" t="s">
        <v>87</v>
      </c>
      <c r="T29" s="79" t="s">
        <v>79</v>
      </c>
      <c r="U29" s="1113"/>
    </row>
    <row r="30" customFormat="false" ht="15" hidden="false" customHeight="false" outlineLevel="0" collapsed="false">
      <c r="A30" s="1113"/>
      <c r="B30" s="1114"/>
      <c r="C30" s="1166" t="n">
        <v>17</v>
      </c>
      <c r="D30" s="1167"/>
      <c r="E30" s="1167"/>
      <c r="F30" s="1168"/>
      <c r="G30" s="1114"/>
      <c r="H30" s="1113"/>
      <c r="I30" s="1113"/>
      <c r="J30" s="1113"/>
      <c r="K30" s="1113"/>
      <c r="L30" s="1113"/>
      <c r="M30" s="1113"/>
      <c r="N30" s="1113"/>
      <c r="O30" s="1113"/>
      <c r="P30" s="79" t="s">
        <v>180</v>
      </c>
      <c r="Q30" s="78"/>
      <c r="R30" s="78"/>
      <c r="S30" s="79" t="s">
        <v>91</v>
      </c>
      <c r="T30" s="79" t="s">
        <v>81</v>
      </c>
      <c r="U30" s="1113"/>
    </row>
    <row r="31" customFormat="false" ht="15" hidden="false" customHeight="false" outlineLevel="0" collapsed="false">
      <c r="A31" s="1113"/>
      <c r="B31" s="1114"/>
      <c r="C31" s="1166" t="n">
        <v>18</v>
      </c>
      <c r="D31" s="1167"/>
      <c r="E31" s="1167"/>
      <c r="F31" s="1168"/>
      <c r="G31" s="1114"/>
      <c r="H31" s="1113"/>
      <c r="I31" s="1113"/>
      <c r="J31" s="1113"/>
      <c r="K31" s="1113"/>
      <c r="L31" s="1113"/>
      <c r="M31" s="1113"/>
      <c r="N31" s="1113"/>
      <c r="O31" s="1113"/>
      <c r="P31" s="79" t="s">
        <v>181</v>
      </c>
      <c r="Q31" s="78"/>
      <c r="R31" s="78"/>
      <c r="S31" s="78"/>
      <c r="T31" s="79" t="s">
        <v>83</v>
      </c>
      <c r="U31" s="1113"/>
    </row>
    <row r="32" customFormat="false" ht="15" hidden="false" customHeight="false" outlineLevel="0" collapsed="false">
      <c r="A32" s="1113"/>
      <c r="B32" s="1114"/>
      <c r="C32" s="1166" t="n">
        <v>19</v>
      </c>
      <c r="D32" s="1167"/>
      <c r="E32" s="1167"/>
      <c r="F32" s="1168"/>
      <c r="G32" s="1114"/>
      <c r="H32" s="1113"/>
      <c r="I32" s="1113"/>
      <c r="J32" s="1113"/>
      <c r="K32" s="1113"/>
      <c r="L32" s="1113"/>
      <c r="M32" s="1113"/>
      <c r="N32" s="1113"/>
      <c r="O32" s="1113"/>
      <c r="P32" s="79" t="s">
        <v>76</v>
      </c>
      <c r="Q32" s="78"/>
      <c r="R32" s="78"/>
      <c r="S32" s="78"/>
      <c r="T32" s="79" t="s">
        <v>85</v>
      </c>
      <c r="U32" s="1113"/>
    </row>
    <row r="33" customFormat="false" ht="15" hidden="false" customHeight="false" outlineLevel="0" collapsed="false">
      <c r="A33" s="1113"/>
      <c r="B33" s="1114"/>
      <c r="C33" s="1166" t="n">
        <v>20</v>
      </c>
      <c r="D33" s="1167"/>
      <c r="E33" s="1167"/>
      <c r="F33" s="1168"/>
      <c r="G33" s="1114"/>
      <c r="H33" s="1113"/>
      <c r="I33" s="1113"/>
      <c r="J33" s="1113"/>
      <c r="K33" s="1113"/>
      <c r="L33" s="1113"/>
      <c r="M33" s="1113"/>
      <c r="N33" s="1113"/>
      <c r="O33" s="1113"/>
      <c r="P33" s="79" t="s">
        <v>78</v>
      </c>
      <c r="Q33" s="78"/>
      <c r="R33" s="78"/>
      <c r="S33" s="78"/>
      <c r="T33" s="79" t="s">
        <v>86</v>
      </c>
      <c r="U33" s="1113"/>
    </row>
    <row r="34" customFormat="false" ht="15" hidden="false" customHeight="false" outlineLevel="0" collapsed="false">
      <c r="A34" s="1113"/>
      <c r="B34" s="1114"/>
      <c r="C34" s="1166" t="n">
        <v>21</v>
      </c>
      <c r="D34" s="1167"/>
      <c r="E34" s="1167"/>
      <c r="F34" s="1168"/>
      <c r="G34" s="1114"/>
      <c r="H34" s="1113"/>
      <c r="I34" s="1113"/>
      <c r="J34" s="1113"/>
      <c r="K34" s="1113"/>
      <c r="L34" s="1113"/>
      <c r="M34" s="1113"/>
      <c r="N34" s="1113"/>
      <c r="O34" s="1113"/>
      <c r="P34" s="79" t="s">
        <v>79</v>
      </c>
      <c r="Q34" s="78"/>
      <c r="R34" s="78"/>
      <c r="S34" s="78"/>
      <c r="T34" s="79" t="s">
        <v>87</v>
      </c>
      <c r="U34" s="1113"/>
    </row>
    <row r="35" customFormat="false" ht="15" hidden="false" customHeight="false" outlineLevel="0" collapsed="false">
      <c r="A35" s="1113"/>
      <c r="B35" s="1114"/>
      <c r="C35" s="1166" t="n">
        <v>22</v>
      </c>
      <c r="D35" s="1167"/>
      <c r="E35" s="1167"/>
      <c r="F35" s="1168"/>
      <c r="G35" s="1114"/>
      <c r="H35" s="1113"/>
      <c r="I35" s="1113"/>
      <c r="J35" s="1113"/>
      <c r="K35" s="1113"/>
      <c r="L35" s="1113"/>
      <c r="M35" s="1113"/>
      <c r="N35" s="1113"/>
      <c r="O35" s="1113"/>
      <c r="P35" s="79" t="s">
        <v>81</v>
      </c>
      <c r="Q35" s="78"/>
      <c r="R35" s="78"/>
      <c r="S35" s="78"/>
      <c r="T35" s="79" t="s">
        <v>89</v>
      </c>
      <c r="U35" s="1113"/>
    </row>
    <row r="36" customFormat="false" ht="15" hidden="false" customHeight="false" outlineLevel="0" collapsed="false">
      <c r="A36" s="1113"/>
      <c r="B36" s="1114"/>
      <c r="C36" s="1166" t="n">
        <v>23</v>
      </c>
      <c r="D36" s="1167"/>
      <c r="E36" s="1167"/>
      <c r="F36" s="1168"/>
      <c r="G36" s="1114"/>
      <c r="H36" s="1113"/>
      <c r="I36" s="1113"/>
      <c r="J36" s="1113"/>
      <c r="K36" s="1113"/>
      <c r="L36" s="1113"/>
      <c r="M36" s="1113"/>
      <c r="N36" s="1113"/>
      <c r="O36" s="1113"/>
      <c r="P36" s="79" t="s">
        <v>83</v>
      </c>
      <c r="Q36" s="78"/>
      <c r="R36" s="78"/>
      <c r="S36" s="78"/>
      <c r="T36" s="79" t="s">
        <v>90</v>
      </c>
      <c r="U36" s="1113"/>
    </row>
    <row r="37" customFormat="false" ht="15" hidden="false" customHeight="false" outlineLevel="0" collapsed="false">
      <c r="A37" s="1113"/>
      <c r="B37" s="1114"/>
      <c r="C37" s="1166" t="n">
        <v>24</v>
      </c>
      <c r="D37" s="1167"/>
      <c r="E37" s="1167"/>
      <c r="F37" s="1168"/>
      <c r="G37" s="1114"/>
      <c r="H37" s="1113"/>
      <c r="I37" s="1113"/>
      <c r="J37" s="1113"/>
      <c r="K37" s="1113"/>
      <c r="L37" s="1113"/>
      <c r="M37" s="1113"/>
      <c r="N37" s="1113"/>
      <c r="O37" s="1113"/>
      <c r="P37" s="79" t="s">
        <v>85</v>
      </c>
      <c r="Q37" s="78"/>
      <c r="R37" s="78"/>
      <c r="S37" s="78"/>
      <c r="T37" s="79" t="s">
        <v>192</v>
      </c>
      <c r="U37" s="1113"/>
    </row>
    <row r="38" customFormat="false" ht="15" hidden="false" customHeight="false" outlineLevel="0" collapsed="false">
      <c r="A38" s="1113"/>
      <c r="B38" s="1114"/>
      <c r="C38" s="1166" t="n">
        <v>25</v>
      </c>
      <c r="D38" s="1167"/>
      <c r="E38" s="1167"/>
      <c r="F38" s="1168"/>
      <c r="G38" s="1114"/>
      <c r="H38" s="1113"/>
      <c r="I38" s="1113"/>
      <c r="J38" s="1113"/>
      <c r="K38" s="1113"/>
      <c r="L38" s="1113"/>
      <c r="M38" s="1113"/>
      <c r="N38" s="1113"/>
      <c r="O38" s="1113"/>
      <c r="P38" s="79" t="s">
        <v>86</v>
      </c>
      <c r="Q38" s="78"/>
      <c r="R38" s="78"/>
      <c r="S38" s="78"/>
      <c r="T38" s="79" t="s">
        <v>91</v>
      </c>
      <c r="U38" s="1113"/>
    </row>
    <row r="39" customFormat="false" ht="15" hidden="false" customHeight="false" outlineLevel="0" collapsed="false">
      <c r="A39" s="1113"/>
      <c r="B39" s="1114"/>
      <c r="C39" s="1166" t="n">
        <v>26</v>
      </c>
      <c r="D39" s="1167"/>
      <c r="E39" s="1167"/>
      <c r="F39" s="1168"/>
      <c r="G39" s="1114"/>
      <c r="H39" s="1113"/>
      <c r="I39" s="1113"/>
      <c r="J39" s="1113"/>
      <c r="K39" s="1113"/>
      <c r="L39" s="1113"/>
      <c r="M39" s="1113"/>
      <c r="N39" s="1113"/>
      <c r="O39" s="1113"/>
      <c r="P39" s="79" t="s">
        <v>87</v>
      </c>
      <c r="Q39" s="78"/>
      <c r="R39" s="78"/>
      <c r="S39" s="78"/>
      <c r="T39" s="79"/>
      <c r="U39" s="1113"/>
    </row>
    <row r="40" customFormat="false" ht="15" hidden="false" customHeight="false" outlineLevel="0" collapsed="false">
      <c r="A40" s="1113"/>
      <c r="B40" s="1114"/>
      <c r="C40" s="1166" t="n">
        <v>27</v>
      </c>
      <c r="D40" s="1167"/>
      <c r="E40" s="1167"/>
      <c r="F40" s="1168"/>
      <c r="G40" s="1114"/>
      <c r="H40" s="1113"/>
      <c r="I40" s="1113"/>
      <c r="J40" s="1113"/>
      <c r="K40" s="1113"/>
      <c r="L40" s="1113"/>
      <c r="M40" s="1113"/>
      <c r="N40" s="1113"/>
      <c r="O40" s="1113"/>
      <c r="P40" s="79" t="s">
        <v>89</v>
      </c>
      <c r="Q40" s="78"/>
      <c r="R40" s="78"/>
      <c r="S40" s="78"/>
      <c r="T40" s="78"/>
      <c r="U40" s="1113"/>
    </row>
    <row r="41" customFormat="false" ht="15" hidden="false" customHeight="false" outlineLevel="0" collapsed="false">
      <c r="A41" s="1113"/>
      <c r="B41" s="1114"/>
      <c r="C41" s="1166" t="n">
        <v>28</v>
      </c>
      <c r="D41" s="1167"/>
      <c r="E41" s="1167"/>
      <c r="F41" s="1168"/>
      <c r="G41" s="1114"/>
      <c r="H41" s="1113"/>
      <c r="I41" s="1113"/>
      <c r="J41" s="1113"/>
      <c r="K41" s="1113"/>
      <c r="L41" s="1113"/>
      <c r="M41" s="1113"/>
      <c r="N41" s="1113"/>
      <c r="O41" s="1113"/>
      <c r="P41" s="79" t="s">
        <v>90</v>
      </c>
      <c r="Q41" s="78"/>
      <c r="R41" s="78"/>
      <c r="S41" s="78"/>
      <c r="T41" s="117"/>
      <c r="U41" s="1113"/>
    </row>
    <row r="42" customFormat="false" ht="15" hidden="false" customHeight="false" outlineLevel="0" collapsed="false">
      <c r="A42" s="1113"/>
      <c r="B42" s="1114"/>
      <c r="C42" s="1166" t="n">
        <v>29</v>
      </c>
      <c r="D42" s="1167"/>
      <c r="E42" s="1167"/>
      <c r="F42" s="1168"/>
      <c r="G42" s="1114"/>
      <c r="H42" s="1113"/>
      <c r="I42" s="1113"/>
      <c r="J42" s="1113"/>
      <c r="K42" s="1113"/>
      <c r="L42" s="1113"/>
      <c r="M42" s="1113"/>
      <c r="N42" s="1113"/>
      <c r="O42" s="1113"/>
      <c r="P42" s="79" t="s">
        <v>192</v>
      </c>
      <c r="Q42" s="78"/>
      <c r="R42" s="78"/>
      <c r="S42" s="78"/>
      <c r="T42" s="78"/>
      <c r="U42" s="1113"/>
    </row>
    <row r="43" customFormat="false" ht="15" hidden="false" customHeight="false" outlineLevel="0" collapsed="false">
      <c r="A43" s="1113"/>
      <c r="B43" s="1114"/>
      <c r="C43" s="1166" t="n">
        <v>30</v>
      </c>
      <c r="D43" s="1167"/>
      <c r="E43" s="1167"/>
      <c r="F43" s="1168"/>
      <c r="G43" s="1114"/>
      <c r="H43" s="1113"/>
      <c r="I43" s="1113"/>
      <c r="J43" s="1113"/>
      <c r="K43" s="1113"/>
      <c r="L43" s="1113"/>
      <c r="M43" s="1113"/>
      <c r="N43" s="1113"/>
      <c r="O43" s="1113"/>
      <c r="P43" s="79" t="s">
        <v>91</v>
      </c>
      <c r="Q43" s="78"/>
      <c r="R43" s="78"/>
      <c r="S43" s="78"/>
      <c r="T43" s="78"/>
      <c r="U43" s="1113"/>
    </row>
    <row r="44" customFormat="false" ht="15" hidden="false" customHeight="false" outlineLevel="0" collapsed="false">
      <c r="A44" s="1113"/>
      <c r="B44" s="1114"/>
      <c r="C44" s="1166" t="n">
        <v>31</v>
      </c>
      <c r="D44" s="1167"/>
      <c r="E44" s="1167"/>
      <c r="F44" s="1168"/>
      <c r="G44" s="1114"/>
      <c r="H44" s="1113"/>
      <c r="I44" s="1113"/>
      <c r="J44" s="1113"/>
      <c r="K44" s="1113"/>
      <c r="L44" s="1113"/>
      <c r="M44" s="1113"/>
      <c r="N44" s="1113"/>
      <c r="O44" s="1113"/>
      <c r="P44" s="78"/>
      <c r="Q44" s="78"/>
      <c r="R44" s="78"/>
      <c r="S44" s="78"/>
      <c r="T44" s="78"/>
      <c r="U44" s="1113"/>
    </row>
    <row r="45" customFormat="false" ht="15" hidden="false" customHeight="false" outlineLevel="0" collapsed="false">
      <c r="A45" s="1113"/>
      <c r="B45" s="1114"/>
      <c r="C45" s="1166" t="n">
        <v>32</v>
      </c>
      <c r="D45" s="1167"/>
      <c r="E45" s="1167"/>
      <c r="F45" s="1168"/>
      <c r="G45" s="1114"/>
      <c r="H45" s="1113"/>
      <c r="I45" s="1113"/>
      <c r="J45" s="1113"/>
      <c r="K45" s="1113"/>
      <c r="L45" s="1113"/>
      <c r="M45" s="1113"/>
      <c r="N45" s="1113"/>
      <c r="O45" s="1113"/>
      <c r="P45" s="78"/>
      <c r="Q45" s="78"/>
      <c r="R45" s="78"/>
      <c r="S45" s="78"/>
      <c r="T45" s="78"/>
      <c r="U45" s="1113"/>
    </row>
    <row r="46" customFormat="false" ht="15" hidden="false" customHeight="false" outlineLevel="0" collapsed="false">
      <c r="A46" s="1113"/>
      <c r="B46" s="1114"/>
      <c r="C46" s="1166" t="n">
        <v>33</v>
      </c>
      <c r="D46" s="1167"/>
      <c r="E46" s="1167"/>
      <c r="F46" s="1168"/>
      <c r="G46" s="1114"/>
      <c r="H46" s="1113"/>
      <c r="I46" s="1113"/>
      <c r="J46" s="1113"/>
      <c r="K46" s="1113"/>
      <c r="L46" s="1113"/>
      <c r="M46" s="1113"/>
      <c r="N46" s="1113"/>
      <c r="O46" s="1113"/>
      <c r="Q46" s="78"/>
      <c r="R46" s="78"/>
      <c r="S46" s="78"/>
      <c r="T46" s="78"/>
      <c r="U46" s="1113"/>
    </row>
    <row r="47" customFormat="false" ht="15" hidden="false" customHeight="false" outlineLevel="0" collapsed="false">
      <c r="A47" s="1113"/>
      <c r="B47" s="1114"/>
      <c r="C47" s="1166" t="n">
        <v>34</v>
      </c>
      <c r="D47" s="1167"/>
      <c r="E47" s="1167"/>
      <c r="F47" s="1168"/>
      <c r="G47" s="1114"/>
      <c r="H47" s="1113"/>
      <c r="I47" s="1113"/>
      <c r="J47" s="1113"/>
      <c r="K47" s="1113"/>
      <c r="L47" s="1113"/>
      <c r="M47" s="1113"/>
      <c r="N47" s="1113"/>
      <c r="O47" s="1113"/>
      <c r="Q47" s="78"/>
      <c r="R47" s="78"/>
      <c r="S47" s="78"/>
      <c r="T47" s="78"/>
      <c r="U47" s="1113"/>
    </row>
    <row r="48" customFormat="false" ht="15" hidden="false" customHeight="false" outlineLevel="0" collapsed="false">
      <c r="A48" s="1113"/>
      <c r="B48" s="1114"/>
      <c r="C48" s="1166" t="n">
        <v>35</v>
      </c>
      <c r="D48" s="1167"/>
      <c r="E48" s="1167"/>
      <c r="F48" s="1168"/>
      <c r="G48" s="1114"/>
      <c r="H48" s="1113"/>
      <c r="I48" s="1113"/>
      <c r="J48" s="1113"/>
      <c r="K48" s="1113"/>
      <c r="L48" s="1113"/>
      <c r="M48" s="1113"/>
      <c r="N48" s="1113"/>
      <c r="O48" s="1113"/>
      <c r="S48" s="78"/>
      <c r="U48" s="1113"/>
    </row>
    <row r="49" customFormat="false" ht="15" hidden="false" customHeight="false" outlineLevel="0" collapsed="false">
      <c r="A49" s="1113"/>
      <c r="B49" s="1114"/>
      <c r="C49" s="1166" t="n">
        <v>36</v>
      </c>
      <c r="D49" s="1167"/>
      <c r="E49" s="1167"/>
      <c r="F49" s="1168"/>
      <c r="G49" s="1114"/>
      <c r="H49" s="1113"/>
      <c r="I49" s="1113"/>
      <c r="J49" s="1113"/>
      <c r="K49" s="1113"/>
      <c r="L49" s="1113"/>
      <c r="M49" s="1113"/>
      <c r="N49" s="1113"/>
      <c r="O49" s="1113"/>
      <c r="S49" s="78"/>
      <c r="U49" s="1113"/>
    </row>
    <row r="50" customFormat="false" ht="15" hidden="false" customHeight="false" outlineLevel="0" collapsed="false">
      <c r="A50" s="1113"/>
      <c r="B50" s="1114"/>
      <c r="C50" s="1166" t="n">
        <v>37</v>
      </c>
      <c r="D50" s="1167"/>
      <c r="E50" s="1167"/>
      <c r="F50" s="1168"/>
      <c r="G50" s="1114"/>
      <c r="H50" s="1113"/>
      <c r="I50" s="1113"/>
      <c r="J50" s="1113"/>
      <c r="K50" s="1113"/>
      <c r="L50" s="1113"/>
      <c r="M50" s="1113"/>
      <c r="N50" s="1113"/>
      <c r="O50" s="1113"/>
      <c r="U50" s="1113"/>
    </row>
    <row r="51" customFormat="false" ht="15" hidden="false" customHeight="false" outlineLevel="0" collapsed="false">
      <c r="A51" s="1113"/>
      <c r="B51" s="1114"/>
      <c r="C51" s="1166" t="n">
        <v>38</v>
      </c>
      <c r="D51" s="1167"/>
      <c r="E51" s="1167"/>
      <c r="F51" s="1168"/>
      <c r="G51" s="1114"/>
      <c r="H51" s="1113"/>
      <c r="I51" s="1113"/>
      <c r="J51" s="1113"/>
      <c r="K51" s="1113"/>
      <c r="L51" s="1113"/>
      <c r="M51" s="1113"/>
      <c r="N51" s="1113"/>
      <c r="O51" s="1113"/>
      <c r="U51" s="1113"/>
    </row>
    <row r="52" customFormat="false" ht="15" hidden="false" customHeight="false" outlineLevel="0" collapsed="false">
      <c r="A52" s="1113"/>
      <c r="B52" s="1114"/>
      <c r="C52" s="1166" t="n">
        <v>39</v>
      </c>
      <c r="D52" s="1167"/>
      <c r="E52" s="1167"/>
      <c r="F52" s="1168"/>
      <c r="G52" s="1114"/>
      <c r="H52" s="1113"/>
      <c r="I52" s="1113"/>
      <c r="J52" s="1113"/>
      <c r="K52" s="1113"/>
      <c r="L52" s="1113"/>
      <c r="M52" s="1113"/>
      <c r="N52" s="1113"/>
      <c r="O52" s="1113"/>
      <c r="U52" s="1113"/>
    </row>
    <row r="53" customFormat="false" ht="15" hidden="false" customHeight="false" outlineLevel="0" collapsed="false">
      <c r="A53" s="1113"/>
      <c r="B53" s="1114"/>
      <c r="C53" s="1166" t="n">
        <v>40</v>
      </c>
      <c r="D53" s="1167"/>
      <c r="E53" s="1167"/>
      <c r="F53" s="1168"/>
      <c r="G53" s="1114"/>
      <c r="H53" s="1113"/>
      <c r="I53" s="1113"/>
      <c r="J53" s="1113"/>
      <c r="K53" s="1113"/>
      <c r="L53" s="1113"/>
      <c r="M53" s="1113"/>
      <c r="N53" s="1113"/>
      <c r="O53" s="1113"/>
      <c r="U53" s="1113"/>
    </row>
    <row r="54" customFormat="false" ht="15" hidden="false" customHeight="false" outlineLevel="0" collapsed="false">
      <c r="A54" s="1113"/>
      <c r="B54" s="1114"/>
      <c r="C54" s="1166" t="n">
        <v>41</v>
      </c>
      <c r="D54" s="1167"/>
      <c r="E54" s="1167"/>
      <c r="F54" s="1168"/>
      <c r="G54" s="1114"/>
      <c r="H54" s="1113"/>
      <c r="I54" s="1113"/>
      <c r="J54" s="1113"/>
      <c r="K54" s="1113"/>
      <c r="L54" s="1113"/>
      <c r="M54" s="1113"/>
      <c r="N54" s="1113"/>
      <c r="O54" s="1113"/>
      <c r="U54" s="1113"/>
    </row>
    <row r="55" customFormat="false" ht="15" hidden="false" customHeight="false" outlineLevel="0" collapsed="false">
      <c r="A55" s="1113"/>
      <c r="B55" s="1114"/>
      <c r="C55" s="1169" t="n">
        <v>42</v>
      </c>
      <c r="D55" s="1170"/>
      <c r="E55" s="1171"/>
      <c r="F55" s="1172"/>
      <c r="G55" s="1114"/>
      <c r="H55" s="1113"/>
      <c r="I55" s="1113"/>
      <c r="J55" s="1113"/>
      <c r="K55" s="1113"/>
      <c r="L55" s="1113"/>
      <c r="M55" s="1113"/>
      <c r="N55" s="1113"/>
      <c r="O55" s="1113"/>
      <c r="U55" s="1113"/>
    </row>
    <row r="56" customFormat="false" ht="15" hidden="false" customHeight="true" outlineLevel="0" collapsed="false">
      <c r="A56" s="1113"/>
      <c r="B56" s="1114"/>
      <c r="C56" s="1114"/>
      <c r="D56" s="1173" t="s">
        <v>859</v>
      </c>
      <c r="E56" s="1173"/>
      <c r="F56" s="1174" t="n">
        <f aca="false">SUM(F14:F55)</f>
        <v>204719.69</v>
      </c>
      <c r="G56" s="1114"/>
      <c r="H56" s="1113"/>
      <c r="I56" s="1113"/>
      <c r="J56" s="1113"/>
      <c r="K56" s="1113"/>
      <c r="L56" s="1113"/>
      <c r="M56" s="1113"/>
      <c r="N56" s="1113"/>
      <c r="O56" s="1113"/>
      <c r="U56" s="1113"/>
    </row>
    <row r="57" customFormat="false" ht="14.25" hidden="false" customHeight="false" outlineLevel="0" collapsed="false">
      <c r="A57" s="1113"/>
      <c r="B57" s="1114"/>
      <c r="C57" s="1175" t="s">
        <v>284</v>
      </c>
      <c r="D57" s="1175"/>
      <c r="E57" s="1175"/>
      <c r="F57" s="1175"/>
      <c r="G57" s="1114"/>
      <c r="H57" s="1113"/>
      <c r="I57" s="1113"/>
      <c r="J57" s="1113"/>
      <c r="K57" s="1113"/>
      <c r="L57" s="1113"/>
      <c r="M57" s="1113"/>
      <c r="N57" s="1113"/>
      <c r="O57" s="1113"/>
      <c r="U57" s="1113"/>
    </row>
    <row r="58" customFormat="false" ht="14.25" hidden="false" customHeight="false" outlineLevel="0" collapsed="false">
      <c r="A58" s="1113"/>
      <c r="B58" s="1114"/>
      <c r="C58" s="1151" t="s">
        <v>860</v>
      </c>
      <c r="D58" s="1151"/>
      <c r="E58" s="1151"/>
      <c r="F58" s="1151"/>
      <c r="G58" s="1114"/>
      <c r="H58" s="1113"/>
      <c r="I58" s="1113"/>
      <c r="J58" s="1113"/>
      <c r="K58" s="1113"/>
      <c r="L58" s="1113"/>
      <c r="M58" s="1113"/>
      <c r="N58" s="1113"/>
      <c r="O58" s="1113"/>
      <c r="U58" s="1113"/>
    </row>
    <row r="59" customFormat="false" ht="14.25" hidden="false" customHeight="false" outlineLevel="0" collapsed="false">
      <c r="A59" s="1113"/>
      <c r="B59" s="1113"/>
      <c r="C59" s="1113"/>
      <c r="D59" s="1113"/>
      <c r="E59" s="1154"/>
      <c r="F59" s="1113"/>
      <c r="G59" s="1113"/>
      <c r="H59" s="1113"/>
      <c r="I59" s="1113"/>
      <c r="J59" s="1113"/>
      <c r="K59" s="1113"/>
      <c r="L59" s="1113"/>
      <c r="M59" s="1113"/>
      <c r="N59" s="1113"/>
      <c r="O59" s="1113"/>
      <c r="U59" s="1113"/>
    </row>
    <row r="60" customFormat="false" ht="14.25" hidden="false" customHeight="false" outlineLevel="0" collapsed="false">
      <c r="A60" s="1113"/>
      <c r="B60" s="1113"/>
      <c r="C60" s="1113"/>
      <c r="D60" s="1113"/>
      <c r="E60" s="1154"/>
      <c r="F60" s="1113"/>
      <c r="G60" s="1113"/>
      <c r="H60" s="1113"/>
      <c r="I60" s="1113"/>
      <c r="J60" s="1113"/>
      <c r="K60" s="1113"/>
      <c r="L60" s="1113"/>
      <c r="M60" s="1113"/>
      <c r="N60" s="1113"/>
      <c r="O60" s="1113"/>
      <c r="U60" s="1113"/>
    </row>
    <row r="61" customFormat="false" ht="14.25" hidden="false" customHeight="false" outlineLevel="0" collapsed="false">
      <c r="A61" s="1113"/>
      <c r="B61" s="1113"/>
      <c r="C61" s="1113"/>
      <c r="D61" s="1113"/>
      <c r="E61" s="1154"/>
      <c r="F61" s="1113"/>
      <c r="G61" s="1113"/>
      <c r="H61" s="1113"/>
      <c r="I61" s="1113"/>
      <c r="J61" s="1113"/>
      <c r="K61" s="1113"/>
      <c r="L61" s="1113"/>
      <c r="M61" s="1113"/>
      <c r="N61" s="1113"/>
      <c r="O61" s="1113"/>
      <c r="U61" s="1113"/>
    </row>
  </sheetData>
  <sheetProtection algorithmName="SHA-512" hashValue="bopRbbrS5crNssZq+hF0dsI+K5ncDbLhT4cryuO6bT7hfTZiY7jI4x3eEx8j7EbgDeNTDoW7a43BDMvK6TSleQ==" saltValue="VSEC0CLRFGCmZK96oHzDLQ==" spinCount="100000" sheet="true" objects="true" scenarios="true"/>
  <mergeCells count="8">
    <mergeCell ref="C3:F3"/>
    <mergeCell ref="C4:F4"/>
    <mergeCell ref="D6:F6"/>
    <mergeCell ref="D8:F8"/>
    <mergeCell ref="D11:E11"/>
    <mergeCell ref="D56:E56"/>
    <mergeCell ref="C57:F57"/>
    <mergeCell ref="C58:F58"/>
  </mergeCells>
  <conditionalFormatting sqref="F11">
    <cfRule type="expression" priority="2" aboveAverage="0" equalAverage="0" bottom="0" percent="0" rank="0" text="" dxfId="39">
      <formula>AND($F$56=$F$11,$F$11&gt;0)</formula>
    </cfRule>
    <cfRule type="expression" priority="3" aboveAverage="0" equalAverage="0" bottom="0" percent="0" rank="0" text="" dxfId="40">
      <formula>AND($F$56&lt;&gt;$F$11,$F$11&gt;0)</formula>
    </cfRule>
  </conditionalFormatting>
  <conditionalFormatting sqref="F14:F55">
    <cfRule type="cellIs" priority="4" operator="lessThan" aboveAverage="0" equalAverage="0" bottom="0" percent="0" rank="0" text="" dxfId="41">
      <formula>0</formula>
    </cfRule>
  </conditionalFormatting>
  <conditionalFormatting sqref="F56">
    <cfRule type="expression" priority="5" aboveAverage="0" equalAverage="0" bottom="0" percent="0" rank="0" text="" dxfId="42">
      <formula>AND($F$56=$F$11,$F$11&gt;0)</formula>
    </cfRule>
  </conditionalFormatting>
  <dataValidations count="1">
    <dataValidation allowBlank="true" error="Enter a dollar amount." errorStyle="stop" operator="greaterThanOrEqual" showDropDown="false" showErrorMessage="true" showInputMessage="true" sqref="F14:F55" type="decimal">
      <formula1>-9999999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9" min="3" style="1" width="16.62"/>
    <col collapsed="false" customWidth="true" hidden="false" outlineLevel="0" max="11" min="10" style="1" width="3.62"/>
    <col collapsed="false" customWidth="true" hidden="true" outlineLevel="0" max="15" min="12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77"/>
      <c r="B1" s="1113"/>
      <c r="C1" s="1113"/>
      <c r="D1" s="1113"/>
      <c r="E1" s="1154"/>
      <c r="F1" s="1113"/>
      <c r="G1" s="1154"/>
      <c r="H1" s="1113"/>
      <c r="I1" s="1113"/>
      <c r="J1" s="1113"/>
      <c r="K1" s="1113"/>
      <c r="L1" s="1113"/>
      <c r="M1" s="1113"/>
      <c r="N1" s="1113"/>
      <c r="O1" s="111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1113"/>
    </row>
    <row r="2" customFormat="false" ht="14.25" hidden="false" customHeight="false" outlineLevel="0" collapsed="false">
      <c r="A2" s="1113"/>
      <c r="B2" s="1114"/>
      <c r="C2" s="81" t="str">
        <f aca="false">Contents!B59</f>
        <v>Version: AS L 6 LARGE locked LOCAL</v>
      </c>
      <c r="D2" s="1114"/>
      <c r="E2" s="1118"/>
      <c r="F2" s="1114"/>
      <c r="G2" s="1118"/>
      <c r="H2" s="1114"/>
      <c r="I2" s="1114"/>
      <c r="J2" s="1114"/>
      <c r="K2" s="1113"/>
      <c r="L2" s="1113"/>
      <c r="M2" s="1113"/>
      <c r="N2" s="1113"/>
      <c r="O2" s="1113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1113"/>
    </row>
    <row r="3" customFormat="false" ht="14.25" hidden="false" customHeight="false" outlineLevel="0" collapsed="false">
      <c r="A3" s="1115"/>
      <c r="B3" s="1116"/>
      <c r="C3" s="1117" t="str">
        <f aca="false">Contents!$E$3</f>
        <v>THE SOCIETY FOR CREATIVE ANACHRONISM, INC.</v>
      </c>
      <c r="D3" s="1117"/>
      <c r="E3" s="1117"/>
      <c r="F3" s="1117"/>
      <c r="G3" s="1117"/>
      <c r="H3" s="1117"/>
      <c r="I3" s="1117"/>
      <c r="J3" s="1116"/>
      <c r="K3" s="1115"/>
      <c r="L3" s="1115"/>
      <c r="M3" s="1115"/>
      <c r="N3" s="1115"/>
      <c r="O3" s="111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1115"/>
    </row>
    <row r="4" customFormat="false" ht="14.25" hidden="false" customHeight="false" outlineLevel="0" collapsed="false">
      <c r="A4" s="1113"/>
      <c r="B4" s="1116"/>
      <c r="C4" s="1117" t="str">
        <f aca="false">Contents!$E$4</f>
        <v>FINANCIAL REPORT</v>
      </c>
      <c r="D4" s="1117"/>
      <c r="E4" s="1117"/>
      <c r="F4" s="1117"/>
      <c r="G4" s="1117"/>
      <c r="H4" s="1117"/>
      <c r="I4" s="1117"/>
      <c r="J4" s="1116"/>
      <c r="K4" s="1113"/>
      <c r="L4" s="1113"/>
      <c r="M4" s="1113"/>
      <c r="N4" s="1113"/>
      <c r="O4" s="111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1113"/>
    </row>
    <row r="5" customFormat="false" ht="14.25" hidden="false" customHeight="false" outlineLevel="0" collapsed="false">
      <c r="A5" s="1113"/>
      <c r="B5" s="1114"/>
      <c r="C5" s="1118"/>
      <c r="D5" s="1118"/>
      <c r="E5" s="1118"/>
      <c r="F5" s="1118"/>
      <c r="G5" s="1118"/>
      <c r="H5" s="1118"/>
      <c r="I5" s="1118"/>
      <c r="J5" s="1114"/>
      <c r="K5" s="1113"/>
      <c r="L5" s="1113"/>
      <c r="M5" s="1113"/>
      <c r="N5" s="1113"/>
      <c r="O5" s="111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1113"/>
    </row>
    <row r="6" customFormat="false" ht="14.25" hidden="false" customHeight="false" outlineLevel="0" collapsed="false">
      <c r="A6" s="1142"/>
      <c r="B6" s="1114"/>
      <c r="C6" s="1119" t="str">
        <f aca="false">Contents!B58</f>
        <v>Branch:   SCA, Inc.- Middle Kingdom                                               Period:  1/01/2025             to     12/31/2025            .</v>
      </c>
      <c r="D6" s="1119"/>
      <c r="E6" s="1119"/>
      <c r="F6" s="1119"/>
      <c r="G6" s="1119"/>
      <c r="H6" s="1119"/>
      <c r="I6" s="1119"/>
      <c r="J6" s="1114"/>
      <c r="K6" s="1142"/>
      <c r="L6" s="1142"/>
      <c r="M6" s="1142"/>
      <c r="N6" s="1142"/>
      <c r="O6" s="1142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1142"/>
    </row>
    <row r="7" customFormat="false" ht="14.25" hidden="false" customHeight="false" outlineLevel="0" collapsed="false">
      <c r="A7" s="1113"/>
      <c r="B7" s="1149"/>
      <c r="C7" s="1149"/>
      <c r="D7" s="1149"/>
      <c r="E7" s="1176"/>
      <c r="F7" s="1149"/>
      <c r="G7" s="1176"/>
      <c r="H7" s="1149"/>
      <c r="I7" s="1149"/>
      <c r="J7" s="1149"/>
      <c r="K7" s="1113"/>
      <c r="L7" s="1113"/>
      <c r="M7" s="1113"/>
      <c r="N7" s="1113"/>
      <c r="O7" s="111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1113"/>
    </row>
    <row r="8" customFormat="false" ht="17.35" hidden="false" customHeight="false" outlineLevel="0" collapsed="false">
      <c r="A8" s="1113"/>
      <c r="B8" s="1114"/>
      <c r="C8" s="1120" t="s">
        <v>861</v>
      </c>
      <c r="D8" s="1120"/>
      <c r="E8" s="1120"/>
      <c r="F8" s="1120"/>
      <c r="G8" s="1120"/>
      <c r="H8" s="1120"/>
      <c r="I8" s="1120"/>
      <c r="J8" s="1114"/>
      <c r="K8" s="1113"/>
      <c r="L8" s="1113"/>
      <c r="M8" s="1113"/>
      <c r="N8" s="1113"/>
      <c r="O8" s="1113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1113"/>
    </row>
    <row r="9" customFormat="false" ht="14.25" hidden="false" customHeight="false" outlineLevel="0" collapsed="false">
      <c r="A9" s="1113"/>
      <c r="B9" s="1114"/>
      <c r="C9" s="1151" t="s">
        <v>862</v>
      </c>
      <c r="D9" s="1151"/>
      <c r="E9" s="1151"/>
      <c r="F9" s="1151"/>
      <c r="G9" s="1151"/>
      <c r="H9" s="1151"/>
      <c r="I9" s="1151"/>
      <c r="J9" s="1114"/>
      <c r="K9" s="1113"/>
      <c r="L9" s="1113"/>
      <c r="M9" s="1113"/>
      <c r="N9" s="1113"/>
      <c r="O9" s="1113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1113"/>
    </row>
    <row r="10" customFormat="false" ht="14.25" hidden="false" customHeight="false" outlineLevel="0" collapsed="false">
      <c r="A10" s="1142"/>
      <c r="B10" s="1114"/>
      <c r="C10" s="1114"/>
      <c r="D10" s="1177"/>
      <c r="E10" s="1178"/>
      <c r="F10" s="1114"/>
      <c r="G10" s="1178"/>
      <c r="H10" s="1114"/>
      <c r="I10" s="1114"/>
      <c r="J10" s="1114"/>
      <c r="K10" s="1142"/>
      <c r="L10" s="1142"/>
      <c r="M10" s="1142"/>
      <c r="N10" s="1142"/>
      <c r="O10" s="1142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142"/>
    </row>
    <row r="11" customFormat="false" ht="14.25" hidden="false" customHeight="false" outlineLevel="0" collapsed="false">
      <c r="A11" s="1113"/>
      <c r="B11" s="1149"/>
      <c r="C11" s="1149"/>
      <c r="D11" s="1177" t="s">
        <v>863</v>
      </c>
      <c r="E11" s="1179"/>
      <c r="F11" s="1179"/>
      <c r="G11" s="1179"/>
      <c r="H11" s="1177" t="s">
        <v>864</v>
      </c>
      <c r="I11" s="1180"/>
      <c r="J11" s="1149"/>
      <c r="K11" s="1113"/>
      <c r="L11" s="1113"/>
      <c r="M11" s="1113"/>
      <c r="N11" s="1113"/>
      <c r="O11" s="1113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113"/>
    </row>
    <row r="12" customFormat="false" ht="14.25" hidden="false" customHeight="false" outlineLevel="0" collapsed="false">
      <c r="A12" s="1113"/>
      <c r="B12" s="1114"/>
      <c r="C12" s="1114"/>
      <c r="D12" s="1177"/>
      <c r="E12" s="1181"/>
      <c r="F12" s="1114"/>
      <c r="G12" s="1178"/>
      <c r="H12" s="1114"/>
      <c r="I12" s="1114"/>
      <c r="J12" s="1114"/>
      <c r="K12" s="1113"/>
      <c r="L12" s="1113"/>
      <c r="M12" s="1113"/>
      <c r="N12" s="1113"/>
      <c r="O12" s="1113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113"/>
    </row>
    <row r="13" customFormat="false" ht="14.25" hidden="false" customHeight="false" outlineLevel="0" collapsed="false">
      <c r="A13" s="1113"/>
      <c r="B13" s="1114"/>
      <c r="C13" s="1182" t="s">
        <v>865</v>
      </c>
      <c r="D13" s="1182"/>
      <c r="E13" s="1182"/>
      <c r="F13" s="1182"/>
      <c r="G13" s="1182"/>
      <c r="H13" s="1182"/>
      <c r="I13" s="1182"/>
      <c r="J13" s="1114"/>
      <c r="K13" s="1113"/>
      <c r="L13" s="1113"/>
      <c r="M13" s="1113"/>
      <c r="N13" s="1113"/>
      <c r="O13" s="1113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113"/>
    </row>
    <row r="14" customFormat="false" ht="14.25" hidden="false" customHeight="true" outlineLevel="0" collapsed="false">
      <c r="A14" s="1142"/>
      <c r="B14" s="1114"/>
      <c r="C14" s="1183" t="s">
        <v>866</v>
      </c>
      <c r="D14" s="1183"/>
      <c r="E14" s="1184" t="n">
        <f aca="false">I11</f>
        <v>0</v>
      </c>
      <c r="F14" s="1185" t="s">
        <v>867</v>
      </c>
      <c r="G14" s="1185"/>
      <c r="H14" s="1186" t="s">
        <v>868</v>
      </c>
      <c r="I14" s="1187" t="s">
        <v>869</v>
      </c>
      <c r="J14" s="1114"/>
      <c r="K14" s="1142"/>
      <c r="L14" s="1142"/>
      <c r="M14" s="1142"/>
      <c r="N14" s="1142"/>
      <c r="O14" s="1142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142"/>
    </row>
    <row r="15" customFormat="false" ht="14.25" hidden="false" customHeight="false" outlineLevel="0" collapsed="false">
      <c r="A15" s="1113"/>
      <c r="B15" s="1114"/>
      <c r="C15" s="1188" t="s">
        <v>870</v>
      </c>
      <c r="D15" s="1188"/>
      <c r="E15" s="1189" t="n">
        <f aca="false">BALANCE_3!G31</f>
        <v>0</v>
      </c>
      <c r="F15" s="1190" t="s">
        <v>871</v>
      </c>
      <c r="G15" s="1190"/>
      <c r="H15" s="1191"/>
      <c r="I15" s="1192"/>
      <c r="J15" s="1114"/>
      <c r="K15" s="1113"/>
      <c r="L15" s="1113"/>
      <c r="M15" s="1113"/>
      <c r="N15" s="1113"/>
      <c r="O15" s="1113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113"/>
    </row>
    <row r="16" customFormat="false" ht="14.25" hidden="false" customHeight="false" outlineLevel="0" collapsed="false">
      <c r="A16" s="1113"/>
      <c r="B16" s="1114"/>
      <c r="C16" s="1193"/>
      <c r="D16" s="1194" t="s">
        <v>872</v>
      </c>
      <c r="E16" s="1189" t="n">
        <f aca="false">I59</f>
        <v>0</v>
      </c>
      <c r="F16" s="1193" t="s">
        <v>873</v>
      </c>
      <c r="G16" s="1193"/>
      <c r="H16" s="1195"/>
      <c r="I16" s="1196"/>
      <c r="J16" s="1114"/>
      <c r="K16" s="1113"/>
      <c r="L16" s="1113"/>
      <c r="M16" s="1113"/>
      <c r="N16" s="1113"/>
      <c r="O16" s="1113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1113"/>
    </row>
    <row r="17" customFormat="false" ht="14.25" hidden="false" customHeight="false" outlineLevel="0" collapsed="false">
      <c r="A17" s="1113"/>
      <c r="B17" s="1114"/>
      <c r="C17" s="1197" t="s">
        <v>874</v>
      </c>
      <c r="D17" s="1197"/>
      <c r="E17" s="1198" t="n">
        <f aca="false">E14+E15-E16</f>
        <v>0</v>
      </c>
      <c r="F17" s="1199" t="s">
        <v>875</v>
      </c>
      <c r="G17" s="1199"/>
      <c r="H17" s="1200" t="n">
        <f aca="false">IF(H16=0,0,ROUND(H15/H16,2))</f>
        <v>0</v>
      </c>
      <c r="I17" s="1201" t="n">
        <f aca="false">IF(I16=0,0,ROUND(I15/I16,2))</f>
        <v>0</v>
      </c>
      <c r="J17" s="1114"/>
      <c r="K17" s="1113"/>
      <c r="L17" s="1113"/>
      <c r="M17" s="1113"/>
      <c r="N17" s="1113"/>
      <c r="O17" s="111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1113"/>
    </row>
    <row r="18" customFormat="false" ht="14.25" hidden="false" customHeight="false" outlineLevel="0" collapsed="false">
      <c r="A18" s="1113"/>
      <c r="B18" s="1114"/>
      <c r="C18" s="1149"/>
      <c r="D18" s="1202"/>
      <c r="E18" s="1203"/>
      <c r="F18" s="1149"/>
      <c r="G18" s="1203"/>
      <c r="H18" s="1149"/>
      <c r="I18" s="1149"/>
      <c r="J18" s="1114"/>
      <c r="K18" s="1113"/>
      <c r="L18" s="1113"/>
      <c r="M18" s="1113"/>
      <c r="N18" s="1113"/>
      <c r="O18" s="1113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1113"/>
    </row>
    <row r="19" customFormat="false" ht="14.25" hidden="false" customHeight="false" outlineLevel="0" collapsed="false">
      <c r="A19" s="1113"/>
      <c r="B19" s="1114"/>
      <c r="C19" s="1204" t="s">
        <v>331</v>
      </c>
      <c r="D19" s="1205" t="s">
        <v>876</v>
      </c>
      <c r="E19" s="1206" t="s">
        <v>877</v>
      </c>
      <c r="F19" s="1207" t="s">
        <v>878</v>
      </c>
      <c r="G19" s="1205" t="s">
        <v>879</v>
      </c>
      <c r="H19" s="1206" t="s">
        <v>880</v>
      </c>
      <c r="I19" s="1208" t="s">
        <v>881</v>
      </c>
      <c r="J19" s="1114"/>
      <c r="K19" s="1113"/>
      <c r="L19" s="1113"/>
      <c r="M19" s="1113"/>
      <c r="N19" s="1113"/>
      <c r="O19" s="1113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1113"/>
    </row>
    <row r="20" customFormat="false" ht="14.25" hidden="false" customHeight="false" outlineLevel="0" collapsed="false">
      <c r="A20" s="1113"/>
      <c r="B20" s="1114"/>
      <c r="C20" s="1209" t="s">
        <v>882</v>
      </c>
      <c r="D20" s="1210" t="s">
        <v>883</v>
      </c>
      <c r="E20" s="1211" t="s">
        <v>884</v>
      </c>
      <c r="F20" s="1212" t="s">
        <v>885</v>
      </c>
      <c r="G20" s="1210" t="s">
        <v>883</v>
      </c>
      <c r="H20" s="1211" t="s">
        <v>884</v>
      </c>
      <c r="I20" s="1213" t="s">
        <v>885</v>
      </c>
      <c r="J20" s="1114"/>
      <c r="K20" s="1113"/>
      <c r="L20" s="1113"/>
      <c r="M20" s="1113"/>
      <c r="N20" s="1113"/>
      <c r="O20" s="1113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1113"/>
    </row>
    <row r="21" customFormat="false" ht="14.25" hidden="false" customHeight="false" outlineLevel="0" collapsed="false">
      <c r="A21" s="1113"/>
      <c r="B21" s="1114"/>
      <c r="C21" s="1214" t="s">
        <v>886</v>
      </c>
      <c r="D21" s="1215" t="s">
        <v>887</v>
      </c>
      <c r="E21" s="1216"/>
      <c r="F21" s="1217" t="s">
        <v>888</v>
      </c>
      <c r="G21" s="1215" t="s">
        <v>887</v>
      </c>
      <c r="H21" s="1216"/>
      <c r="I21" s="1218" t="s">
        <v>888</v>
      </c>
      <c r="J21" s="1114"/>
      <c r="K21" s="1113"/>
      <c r="L21" s="1113"/>
      <c r="M21" s="1113"/>
      <c r="N21" s="1113"/>
      <c r="O21" s="1113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1113"/>
    </row>
    <row r="22" customFormat="false" ht="14.25" hidden="false" customHeight="false" outlineLevel="0" collapsed="false">
      <c r="A22" s="1113"/>
      <c r="B22" s="1114"/>
      <c r="C22" s="1219" t="n">
        <v>1</v>
      </c>
      <c r="D22" s="1220"/>
      <c r="E22" s="1221"/>
      <c r="F22" s="1222" t="n">
        <f aca="false">E22*C22*D22</f>
        <v>0</v>
      </c>
      <c r="G22" s="1220"/>
      <c r="H22" s="1221"/>
      <c r="I22" s="1223" t="n">
        <f aca="false">H22*C22*G22</f>
        <v>0</v>
      </c>
      <c r="J22" s="1114"/>
      <c r="K22" s="1113"/>
      <c r="L22" s="1113"/>
      <c r="M22" s="1113"/>
      <c r="N22" s="1113"/>
      <c r="O22" s="1113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1113"/>
    </row>
    <row r="23" customFormat="false" ht="14.25" hidden="false" customHeight="false" outlineLevel="0" collapsed="false">
      <c r="A23" s="1113"/>
      <c r="B23" s="1114"/>
      <c r="C23" s="1224" t="n">
        <f aca="false">C22+1</f>
        <v>2</v>
      </c>
      <c r="D23" s="1225"/>
      <c r="E23" s="1226"/>
      <c r="F23" s="1222" t="n">
        <f aca="false">E23*C23*D23</f>
        <v>0</v>
      </c>
      <c r="G23" s="1225"/>
      <c r="H23" s="1226"/>
      <c r="I23" s="1223" t="n">
        <f aca="false">H23*C23*G23</f>
        <v>0</v>
      </c>
      <c r="J23" s="1114"/>
      <c r="K23" s="1113"/>
      <c r="L23" s="1113"/>
      <c r="M23" s="1113"/>
      <c r="N23" s="1113"/>
      <c r="O23" s="1113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1113"/>
    </row>
    <row r="24" customFormat="false" ht="14.25" hidden="false" customHeight="false" outlineLevel="0" collapsed="false">
      <c r="A24" s="1113"/>
      <c r="B24" s="1114"/>
      <c r="C24" s="1224" t="n">
        <f aca="false">C23+1</f>
        <v>3</v>
      </c>
      <c r="D24" s="1225"/>
      <c r="E24" s="1226"/>
      <c r="F24" s="1222" t="n">
        <f aca="false">E24*C24*D24</f>
        <v>0</v>
      </c>
      <c r="G24" s="1225"/>
      <c r="H24" s="1226"/>
      <c r="I24" s="1223" t="n">
        <f aca="false">H24*C24*G24</f>
        <v>0</v>
      </c>
      <c r="J24" s="1114"/>
      <c r="K24" s="1113"/>
      <c r="L24" s="1113"/>
      <c r="M24" s="1113"/>
      <c r="N24" s="1113"/>
      <c r="O24" s="1113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1113"/>
    </row>
    <row r="25" customFormat="false" ht="14.25" hidden="false" customHeight="false" outlineLevel="0" collapsed="false">
      <c r="A25" s="1113"/>
      <c r="B25" s="1114"/>
      <c r="C25" s="1224" t="n">
        <f aca="false">C24+1</f>
        <v>4</v>
      </c>
      <c r="D25" s="1225"/>
      <c r="E25" s="1226"/>
      <c r="F25" s="1222" t="n">
        <f aca="false">E25*C25*D25</f>
        <v>0</v>
      </c>
      <c r="G25" s="1225"/>
      <c r="H25" s="1226"/>
      <c r="I25" s="1223" t="n">
        <f aca="false">H25*C25*G25</f>
        <v>0</v>
      </c>
      <c r="J25" s="1114"/>
      <c r="K25" s="1113"/>
      <c r="L25" s="1113"/>
      <c r="M25" s="1113"/>
      <c r="N25" s="1113"/>
      <c r="O25" s="1113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1113"/>
    </row>
    <row r="26" customFormat="false" ht="14.25" hidden="false" customHeight="false" outlineLevel="0" collapsed="false">
      <c r="A26" s="1113"/>
      <c r="B26" s="1114"/>
      <c r="C26" s="1224" t="n">
        <f aca="false">C25+1</f>
        <v>5</v>
      </c>
      <c r="D26" s="1225"/>
      <c r="E26" s="1226"/>
      <c r="F26" s="1222" t="n">
        <f aca="false">E26*C26*D26</f>
        <v>0</v>
      </c>
      <c r="G26" s="1225"/>
      <c r="H26" s="1226"/>
      <c r="I26" s="1223" t="n">
        <f aca="false">H26*C26*G26</f>
        <v>0</v>
      </c>
      <c r="J26" s="1114"/>
      <c r="K26" s="1113"/>
      <c r="L26" s="1113"/>
      <c r="M26" s="1113"/>
      <c r="N26" s="1113"/>
      <c r="O26" s="1113"/>
      <c r="P26" s="79" t="s">
        <v>174</v>
      </c>
      <c r="Q26" s="78"/>
      <c r="R26" s="78"/>
      <c r="S26" s="79" t="s">
        <v>83</v>
      </c>
      <c r="T26" s="79" t="s">
        <v>174</v>
      </c>
      <c r="U26" s="1113"/>
    </row>
    <row r="27" customFormat="false" ht="14.25" hidden="false" customHeight="false" outlineLevel="0" collapsed="false">
      <c r="A27" s="1113"/>
      <c r="B27" s="1114"/>
      <c r="C27" s="1224" t="n">
        <f aca="false">C26+1</f>
        <v>6</v>
      </c>
      <c r="D27" s="1225"/>
      <c r="E27" s="1226"/>
      <c r="F27" s="1222" t="n">
        <f aca="false">E27*C27*D27</f>
        <v>0</v>
      </c>
      <c r="G27" s="1225"/>
      <c r="H27" s="1226"/>
      <c r="I27" s="1223" t="n">
        <f aca="false">H27*C27*G27</f>
        <v>0</v>
      </c>
      <c r="J27" s="1114"/>
      <c r="K27" s="1113"/>
      <c r="L27" s="1113"/>
      <c r="M27" s="1113"/>
      <c r="N27" s="1113"/>
      <c r="O27" s="1113"/>
      <c r="P27" s="79" t="s">
        <v>177</v>
      </c>
      <c r="Q27" s="78"/>
      <c r="R27" s="78"/>
      <c r="S27" s="79" t="s">
        <v>85</v>
      </c>
      <c r="T27" s="79" t="s">
        <v>76</v>
      </c>
      <c r="U27" s="1113"/>
    </row>
    <row r="28" customFormat="false" ht="14.25" hidden="false" customHeight="false" outlineLevel="0" collapsed="false">
      <c r="A28" s="1113"/>
      <c r="B28" s="1114"/>
      <c r="C28" s="1224" t="n">
        <f aca="false">C27+1</f>
        <v>7</v>
      </c>
      <c r="D28" s="1225"/>
      <c r="E28" s="1226"/>
      <c r="F28" s="1222" t="n">
        <f aca="false">E28*C28*D28</f>
        <v>0</v>
      </c>
      <c r="G28" s="1225"/>
      <c r="H28" s="1226"/>
      <c r="I28" s="1223" t="n">
        <f aca="false">H28*C28*G28</f>
        <v>0</v>
      </c>
      <c r="J28" s="1114"/>
      <c r="K28" s="1113"/>
      <c r="L28" s="1113"/>
      <c r="M28" s="1113"/>
      <c r="N28" s="1113"/>
      <c r="O28" s="1113"/>
      <c r="P28" s="79" t="s">
        <v>178</v>
      </c>
      <c r="Q28" s="78"/>
      <c r="R28" s="78"/>
      <c r="S28" s="79" t="s">
        <v>86</v>
      </c>
      <c r="T28" s="79" t="s">
        <v>78</v>
      </c>
      <c r="U28" s="1113"/>
    </row>
    <row r="29" customFormat="false" ht="14.25" hidden="false" customHeight="false" outlineLevel="0" collapsed="false">
      <c r="A29" s="1113"/>
      <c r="B29" s="1114"/>
      <c r="C29" s="1224" t="n">
        <f aca="false">C28+1</f>
        <v>8</v>
      </c>
      <c r="D29" s="1225"/>
      <c r="E29" s="1226"/>
      <c r="F29" s="1222" t="n">
        <f aca="false">E29*C29*D29</f>
        <v>0</v>
      </c>
      <c r="G29" s="1225"/>
      <c r="H29" s="1226"/>
      <c r="I29" s="1223" t="n">
        <f aca="false">H29*C29*G29</f>
        <v>0</v>
      </c>
      <c r="J29" s="1114"/>
      <c r="K29" s="1113"/>
      <c r="L29" s="1113"/>
      <c r="M29" s="1113"/>
      <c r="N29" s="1113"/>
      <c r="O29" s="1113"/>
      <c r="P29" s="79" t="s">
        <v>179</v>
      </c>
      <c r="Q29" s="78"/>
      <c r="R29" s="78"/>
      <c r="S29" s="79" t="s">
        <v>87</v>
      </c>
      <c r="T29" s="79" t="s">
        <v>79</v>
      </c>
      <c r="U29" s="1113"/>
    </row>
    <row r="30" customFormat="false" ht="14.25" hidden="false" customHeight="false" outlineLevel="0" collapsed="false">
      <c r="A30" s="1113"/>
      <c r="B30" s="1114"/>
      <c r="C30" s="1224" t="n">
        <f aca="false">C29+1</f>
        <v>9</v>
      </c>
      <c r="D30" s="1225"/>
      <c r="E30" s="1226"/>
      <c r="F30" s="1222" t="n">
        <f aca="false">E30*C30*D30</f>
        <v>0</v>
      </c>
      <c r="G30" s="1225"/>
      <c r="H30" s="1226"/>
      <c r="I30" s="1223" t="n">
        <f aca="false">H30*C30*G30</f>
        <v>0</v>
      </c>
      <c r="J30" s="1114"/>
      <c r="K30" s="1113"/>
      <c r="L30" s="1113"/>
      <c r="M30" s="1113"/>
      <c r="N30" s="1113"/>
      <c r="O30" s="1113"/>
      <c r="P30" s="79" t="s">
        <v>180</v>
      </c>
      <c r="Q30" s="78"/>
      <c r="R30" s="78"/>
      <c r="S30" s="79" t="s">
        <v>91</v>
      </c>
      <c r="T30" s="79" t="s">
        <v>81</v>
      </c>
      <c r="U30" s="1113"/>
    </row>
    <row r="31" customFormat="false" ht="14.25" hidden="false" customHeight="false" outlineLevel="0" collapsed="false">
      <c r="A31" s="1113"/>
      <c r="B31" s="1114"/>
      <c r="C31" s="1224" t="n">
        <f aca="false">C30+1</f>
        <v>10</v>
      </c>
      <c r="D31" s="1225"/>
      <c r="E31" s="1226"/>
      <c r="F31" s="1222" t="n">
        <f aca="false">E31*C31*D31</f>
        <v>0</v>
      </c>
      <c r="G31" s="1225"/>
      <c r="H31" s="1226"/>
      <c r="I31" s="1223" t="n">
        <f aca="false">H31*C31*G31</f>
        <v>0</v>
      </c>
      <c r="J31" s="1114"/>
      <c r="K31" s="1113"/>
      <c r="L31" s="1113"/>
      <c r="M31" s="1113"/>
      <c r="N31" s="1113"/>
      <c r="O31" s="1113"/>
      <c r="P31" s="79" t="s">
        <v>181</v>
      </c>
      <c r="Q31" s="78"/>
      <c r="R31" s="78"/>
      <c r="S31" s="78"/>
      <c r="T31" s="79" t="s">
        <v>83</v>
      </c>
      <c r="U31" s="1113"/>
    </row>
    <row r="32" customFormat="false" ht="14.25" hidden="false" customHeight="false" outlineLevel="0" collapsed="false">
      <c r="A32" s="1113"/>
      <c r="B32" s="1114"/>
      <c r="C32" s="1224" t="n">
        <f aca="false">C31+1</f>
        <v>11</v>
      </c>
      <c r="D32" s="1225"/>
      <c r="E32" s="1226"/>
      <c r="F32" s="1222" t="n">
        <f aca="false">E32*C32*D32</f>
        <v>0</v>
      </c>
      <c r="G32" s="1225"/>
      <c r="H32" s="1226"/>
      <c r="I32" s="1223" t="n">
        <f aca="false">H32*C32*G32</f>
        <v>0</v>
      </c>
      <c r="J32" s="1114"/>
      <c r="K32" s="1113"/>
      <c r="L32" s="1113"/>
      <c r="M32" s="1113"/>
      <c r="N32" s="1113"/>
      <c r="O32" s="1113"/>
      <c r="P32" s="79" t="s">
        <v>76</v>
      </c>
      <c r="Q32" s="78"/>
      <c r="R32" s="78"/>
      <c r="S32" s="78"/>
      <c r="T32" s="79" t="s">
        <v>85</v>
      </c>
      <c r="U32" s="1113"/>
    </row>
    <row r="33" customFormat="false" ht="14.25" hidden="false" customHeight="false" outlineLevel="0" collapsed="false">
      <c r="A33" s="1113"/>
      <c r="B33" s="1114"/>
      <c r="C33" s="1224" t="n">
        <f aca="false">C32+1</f>
        <v>12</v>
      </c>
      <c r="D33" s="1225"/>
      <c r="E33" s="1226"/>
      <c r="F33" s="1222" t="n">
        <f aca="false">E33*C33*D33</f>
        <v>0</v>
      </c>
      <c r="G33" s="1225"/>
      <c r="H33" s="1226"/>
      <c r="I33" s="1223" t="n">
        <f aca="false">H33*C33*G33</f>
        <v>0</v>
      </c>
      <c r="J33" s="1114"/>
      <c r="K33" s="1113"/>
      <c r="L33" s="1113"/>
      <c r="M33" s="1113"/>
      <c r="N33" s="1113"/>
      <c r="O33" s="1113"/>
      <c r="P33" s="79" t="s">
        <v>78</v>
      </c>
      <c r="Q33" s="78"/>
      <c r="R33" s="78"/>
      <c r="S33" s="78"/>
      <c r="T33" s="79" t="s">
        <v>86</v>
      </c>
      <c r="U33" s="1113"/>
    </row>
    <row r="34" customFormat="false" ht="14.25" hidden="false" customHeight="false" outlineLevel="0" collapsed="false">
      <c r="A34" s="1113"/>
      <c r="B34" s="1114"/>
      <c r="C34" s="1224" t="n">
        <f aca="false">C33+1</f>
        <v>13</v>
      </c>
      <c r="D34" s="1225"/>
      <c r="E34" s="1226"/>
      <c r="F34" s="1222" t="n">
        <f aca="false">E34*C34*D34</f>
        <v>0</v>
      </c>
      <c r="G34" s="1225"/>
      <c r="H34" s="1226"/>
      <c r="I34" s="1223" t="n">
        <f aca="false">H34*C34*G34</f>
        <v>0</v>
      </c>
      <c r="J34" s="1114"/>
      <c r="K34" s="1113"/>
      <c r="L34" s="1113"/>
      <c r="M34" s="1113"/>
      <c r="N34" s="1113"/>
      <c r="O34" s="1113"/>
      <c r="P34" s="79" t="s">
        <v>79</v>
      </c>
      <c r="Q34" s="78"/>
      <c r="R34" s="78"/>
      <c r="S34" s="78"/>
      <c r="T34" s="79" t="s">
        <v>87</v>
      </c>
      <c r="U34" s="1113"/>
    </row>
    <row r="35" customFormat="false" ht="14.25" hidden="false" customHeight="false" outlineLevel="0" collapsed="false">
      <c r="A35" s="1113"/>
      <c r="B35" s="1114"/>
      <c r="C35" s="1224" t="n">
        <f aca="false">C34+1</f>
        <v>14</v>
      </c>
      <c r="D35" s="1225"/>
      <c r="E35" s="1226"/>
      <c r="F35" s="1222" t="n">
        <f aca="false">E35*C35*D35</f>
        <v>0</v>
      </c>
      <c r="G35" s="1225"/>
      <c r="H35" s="1226"/>
      <c r="I35" s="1223" t="n">
        <f aca="false">H35*C35*G35</f>
        <v>0</v>
      </c>
      <c r="J35" s="1114"/>
      <c r="K35" s="1113"/>
      <c r="L35" s="1113"/>
      <c r="M35" s="1113"/>
      <c r="N35" s="1113"/>
      <c r="O35" s="1113"/>
      <c r="P35" s="79" t="s">
        <v>81</v>
      </c>
      <c r="Q35" s="78"/>
      <c r="R35" s="78"/>
      <c r="S35" s="78"/>
      <c r="T35" s="79" t="s">
        <v>89</v>
      </c>
      <c r="U35" s="1113"/>
    </row>
    <row r="36" customFormat="false" ht="14.25" hidden="false" customHeight="false" outlineLevel="0" collapsed="false">
      <c r="A36" s="1113"/>
      <c r="B36" s="1114"/>
      <c r="C36" s="1224" t="n">
        <f aca="false">C35+1</f>
        <v>15</v>
      </c>
      <c r="D36" s="1225"/>
      <c r="E36" s="1226"/>
      <c r="F36" s="1222" t="n">
        <f aca="false">E36*C36*D36</f>
        <v>0</v>
      </c>
      <c r="G36" s="1225"/>
      <c r="H36" s="1226"/>
      <c r="I36" s="1223" t="n">
        <f aca="false">H36*C36*G36</f>
        <v>0</v>
      </c>
      <c r="J36" s="1114"/>
      <c r="K36" s="1113"/>
      <c r="L36" s="1113"/>
      <c r="M36" s="1113"/>
      <c r="N36" s="1113"/>
      <c r="O36" s="1113"/>
      <c r="P36" s="79" t="s">
        <v>83</v>
      </c>
      <c r="Q36" s="78"/>
      <c r="R36" s="78"/>
      <c r="S36" s="78"/>
      <c r="T36" s="79" t="s">
        <v>90</v>
      </c>
      <c r="U36" s="1113"/>
    </row>
    <row r="37" customFormat="false" ht="14.25" hidden="false" customHeight="false" outlineLevel="0" collapsed="false">
      <c r="A37" s="1113"/>
      <c r="B37" s="1114"/>
      <c r="C37" s="1224" t="n">
        <f aca="false">C36+1</f>
        <v>16</v>
      </c>
      <c r="D37" s="1225"/>
      <c r="E37" s="1226"/>
      <c r="F37" s="1222" t="n">
        <f aca="false">E37*C37*D37</f>
        <v>0</v>
      </c>
      <c r="G37" s="1225"/>
      <c r="H37" s="1226"/>
      <c r="I37" s="1223" t="n">
        <f aca="false">H37*C37*G37</f>
        <v>0</v>
      </c>
      <c r="J37" s="1114"/>
      <c r="K37" s="1113"/>
      <c r="L37" s="1113"/>
      <c r="M37" s="1113"/>
      <c r="N37" s="1113"/>
      <c r="O37" s="1113"/>
      <c r="P37" s="79" t="s">
        <v>85</v>
      </c>
      <c r="Q37" s="78"/>
      <c r="R37" s="78"/>
      <c r="S37" s="78"/>
      <c r="T37" s="79" t="s">
        <v>192</v>
      </c>
      <c r="U37" s="1113"/>
    </row>
    <row r="38" customFormat="false" ht="14.25" hidden="false" customHeight="false" outlineLevel="0" collapsed="false">
      <c r="A38" s="1113"/>
      <c r="B38" s="1114"/>
      <c r="C38" s="1224" t="n">
        <f aca="false">C37+1</f>
        <v>17</v>
      </c>
      <c r="D38" s="1225"/>
      <c r="E38" s="1226"/>
      <c r="F38" s="1222" t="n">
        <f aca="false">E38*C38*D38</f>
        <v>0</v>
      </c>
      <c r="G38" s="1225"/>
      <c r="H38" s="1226"/>
      <c r="I38" s="1223" t="n">
        <f aca="false">H38*C38*G38</f>
        <v>0</v>
      </c>
      <c r="J38" s="1114"/>
      <c r="K38" s="1113"/>
      <c r="L38" s="1113"/>
      <c r="M38" s="1113"/>
      <c r="N38" s="1113"/>
      <c r="O38" s="1113"/>
      <c r="P38" s="79" t="s">
        <v>86</v>
      </c>
      <c r="Q38" s="78"/>
      <c r="R38" s="78"/>
      <c r="S38" s="78"/>
      <c r="T38" s="79" t="s">
        <v>91</v>
      </c>
      <c r="U38" s="1113"/>
    </row>
    <row r="39" customFormat="false" ht="14.25" hidden="false" customHeight="false" outlineLevel="0" collapsed="false">
      <c r="A39" s="1113"/>
      <c r="B39" s="1114"/>
      <c r="C39" s="1224" t="n">
        <f aca="false">C38+1</f>
        <v>18</v>
      </c>
      <c r="D39" s="1225"/>
      <c r="E39" s="1226"/>
      <c r="F39" s="1222" t="n">
        <f aca="false">E39*C39*D39</f>
        <v>0</v>
      </c>
      <c r="G39" s="1225"/>
      <c r="H39" s="1226"/>
      <c r="I39" s="1223" t="n">
        <f aca="false">H39*C39*G39</f>
        <v>0</v>
      </c>
      <c r="J39" s="1114"/>
      <c r="K39" s="1113"/>
      <c r="L39" s="1113"/>
      <c r="M39" s="1113"/>
      <c r="N39" s="1113"/>
      <c r="O39" s="1113"/>
      <c r="P39" s="79" t="s">
        <v>87</v>
      </c>
      <c r="Q39" s="78"/>
      <c r="R39" s="78"/>
      <c r="S39" s="78"/>
      <c r="T39" s="79"/>
      <c r="U39" s="1113"/>
    </row>
    <row r="40" customFormat="false" ht="14.25" hidden="false" customHeight="false" outlineLevel="0" collapsed="false">
      <c r="A40" s="1113"/>
      <c r="B40" s="1114"/>
      <c r="C40" s="1224" t="n">
        <f aca="false">C39+1</f>
        <v>19</v>
      </c>
      <c r="D40" s="1225"/>
      <c r="E40" s="1226"/>
      <c r="F40" s="1222" t="n">
        <f aca="false">E40*C40*D40</f>
        <v>0</v>
      </c>
      <c r="G40" s="1225"/>
      <c r="H40" s="1226"/>
      <c r="I40" s="1223" t="n">
        <f aca="false">H40*C40*G40</f>
        <v>0</v>
      </c>
      <c r="J40" s="1114"/>
      <c r="K40" s="1113"/>
      <c r="L40" s="1113"/>
      <c r="M40" s="1113"/>
      <c r="N40" s="1113"/>
      <c r="O40" s="1113"/>
      <c r="P40" s="79" t="s">
        <v>89</v>
      </c>
      <c r="Q40" s="78"/>
      <c r="R40" s="78"/>
      <c r="S40" s="78"/>
      <c r="T40" s="78"/>
      <c r="U40" s="1113"/>
    </row>
    <row r="41" customFormat="false" ht="14.25" hidden="false" customHeight="false" outlineLevel="0" collapsed="false">
      <c r="A41" s="1113"/>
      <c r="B41" s="1114"/>
      <c r="C41" s="1224" t="n">
        <f aca="false">C40+1</f>
        <v>20</v>
      </c>
      <c r="D41" s="1225"/>
      <c r="E41" s="1226"/>
      <c r="F41" s="1222" t="n">
        <f aca="false">E41*C41*D41</f>
        <v>0</v>
      </c>
      <c r="G41" s="1225"/>
      <c r="H41" s="1226"/>
      <c r="I41" s="1223" t="n">
        <f aca="false">H41*C41*G41</f>
        <v>0</v>
      </c>
      <c r="J41" s="1114"/>
      <c r="K41" s="1113"/>
      <c r="L41" s="1113"/>
      <c r="M41" s="1113"/>
      <c r="N41" s="1113"/>
      <c r="O41" s="1113"/>
      <c r="P41" s="79" t="s">
        <v>90</v>
      </c>
      <c r="Q41" s="78"/>
      <c r="R41" s="78"/>
      <c r="S41" s="78"/>
      <c r="T41" s="117"/>
      <c r="U41" s="1113"/>
    </row>
    <row r="42" customFormat="false" ht="14.25" hidden="false" customHeight="false" outlineLevel="0" collapsed="false">
      <c r="A42" s="1113"/>
      <c r="B42" s="1114"/>
      <c r="C42" s="1224" t="n">
        <f aca="false">C41+1</f>
        <v>21</v>
      </c>
      <c r="D42" s="1225"/>
      <c r="E42" s="1226"/>
      <c r="F42" s="1222" t="n">
        <f aca="false">E42*C42*D42</f>
        <v>0</v>
      </c>
      <c r="G42" s="1225"/>
      <c r="H42" s="1226"/>
      <c r="I42" s="1223" t="n">
        <f aca="false">H42*C42*G42</f>
        <v>0</v>
      </c>
      <c r="J42" s="1114"/>
      <c r="K42" s="1113"/>
      <c r="L42" s="1113"/>
      <c r="M42" s="1113"/>
      <c r="N42" s="1113"/>
      <c r="O42" s="1113"/>
      <c r="P42" s="79" t="s">
        <v>192</v>
      </c>
      <c r="Q42" s="78"/>
      <c r="R42" s="78"/>
      <c r="S42" s="78"/>
      <c r="T42" s="78"/>
      <c r="U42" s="1113"/>
    </row>
    <row r="43" customFormat="false" ht="14.25" hidden="false" customHeight="false" outlineLevel="0" collapsed="false">
      <c r="A43" s="1113"/>
      <c r="B43" s="1114"/>
      <c r="C43" s="1224" t="n">
        <f aca="false">C42+1</f>
        <v>22</v>
      </c>
      <c r="D43" s="1225"/>
      <c r="E43" s="1226"/>
      <c r="F43" s="1222" t="n">
        <f aca="false">E43*C43*D43</f>
        <v>0</v>
      </c>
      <c r="G43" s="1225"/>
      <c r="H43" s="1226"/>
      <c r="I43" s="1223" t="n">
        <f aca="false">H43*C43*G43</f>
        <v>0</v>
      </c>
      <c r="J43" s="1114"/>
      <c r="K43" s="1113"/>
      <c r="L43" s="1113"/>
      <c r="M43" s="1113"/>
      <c r="N43" s="1113"/>
      <c r="O43" s="1113"/>
      <c r="P43" s="79" t="s">
        <v>91</v>
      </c>
      <c r="Q43" s="78"/>
      <c r="R43" s="78"/>
      <c r="S43" s="78"/>
      <c r="T43" s="78"/>
      <c r="U43" s="1113"/>
    </row>
    <row r="44" customFormat="false" ht="14.25" hidden="false" customHeight="false" outlineLevel="0" collapsed="false">
      <c r="A44" s="1113"/>
      <c r="B44" s="1114"/>
      <c r="C44" s="1224" t="n">
        <f aca="false">C43+1</f>
        <v>23</v>
      </c>
      <c r="D44" s="1225"/>
      <c r="E44" s="1226"/>
      <c r="F44" s="1222" t="n">
        <f aca="false">E44*C44*D44</f>
        <v>0</v>
      </c>
      <c r="G44" s="1225"/>
      <c r="H44" s="1226"/>
      <c r="I44" s="1223" t="n">
        <f aca="false">H44*C44*G44</f>
        <v>0</v>
      </c>
      <c r="J44" s="1114"/>
      <c r="K44" s="1113"/>
      <c r="L44" s="1113"/>
      <c r="M44" s="1113"/>
      <c r="N44" s="1113"/>
      <c r="O44" s="1113"/>
      <c r="P44" s="78"/>
      <c r="Q44" s="78"/>
      <c r="R44" s="78"/>
      <c r="S44" s="78"/>
      <c r="T44" s="78"/>
      <c r="U44" s="1113"/>
    </row>
    <row r="45" customFormat="false" ht="14.25" hidden="false" customHeight="false" outlineLevel="0" collapsed="false">
      <c r="A45" s="1113"/>
      <c r="B45" s="1114"/>
      <c r="C45" s="1224" t="n">
        <f aca="false">C44+1</f>
        <v>24</v>
      </c>
      <c r="D45" s="1225"/>
      <c r="E45" s="1226"/>
      <c r="F45" s="1222" t="n">
        <f aca="false">E45*C45*D45</f>
        <v>0</v>
      </c>
      <c r="G45" s="1225"/>
      <c r="H45" s="1226"/>
      <c r="I45" s="1223" t="n">
        <f aca="false">H45*C45*G45</f>
        <v>0</v>
      </c>
      <c r="J45" s="1114"/>
      <c r="K45" s="1113"/>
      <c r="L45" s="1113"/>
      <c r="M45" s="1113"/>
      <c r="N45" s="1113"/>
      <c r="O45" s="1113"/>
      <c r="P45" s="78"/>
      <c r="Q45" s="78"/>
      <c r="R45" s="78"/>
      <c r="S45" s="78"/>
      <c r="T45" s="78"/>
      <c r="U45" s="1113"/>
    </row>
    <row r="46" customFormat="false" ht="14.25" hidden="false" customHeight="false" outlineLevel="0" collapsed="false">
      <c r="A46" s="1113"/>
      <c r="B46" s="1114"/>
      <c r="C46" s="1224" t="n">
        <f aca="false">C45+1</f>
        <v>25</v>
      </c>
      <c r="D46" s="1225"/>
      <c r="E46" s="1226"/>
      <c r="F46" s="1222" t="n">
        <f aca="false">E46*C46*D46</f>
        <v>0</v>
      </c>
      <c r="G46" s="1225"/>
      <c r="H46" s="1226"/>
      <c r="I46" s="1223" t="n">
        <f aca="false">H46*C46*G46</f>
        <v>0</v>
      </c>
      <c r="J46" s="1114"/>
      <c r="K46" s="1113"/>
      <c r="L46" s="1113"/>
      <c r="M46" s="1113"/>
      <c r="N46" s="1113"/>
      <c r="O46" s="1113"/>
      <c r="Q46" s="78"/>
      <c r="R46" s="78"/>
      <c r="S46" s="78"/>
      <c r="T46" s="78"/>
      <c r="U46" s="1113"/>
    </row>
    <row r="47" customFormat="false" ht="14.25" hidden="false" customHeight="false" outlineLevel="0" collapsed="false">
      <c r="A47" s="1113"/>
      <c r="B47" s="1114"/>
      <c r="C47" s="1224" t="n">
        <f aca="false">C46+1</f>
        <v>26</v>
      </c>
      <c r="D47" s="1225"/>
      <c r="E47" s="1226"/>
      <c r="F47" s="1222" t="n">
        <f aca="false">E47*C47*D47</f>
        <v>0</v>
      </c>
      <c r="G47" s="1225"/>
      <c r="H47" s="1226"/>
      <c r="I47" s="1223" t="n">
        <f aca="false">H47*C47*G47</f>
        <v>0</v>
      </c>
      <c r="J47" s="1114"/>
      <c r="K47" s="1113"/>
      <c r="L47" s="1113"/>
      <c r="M47" s="1113"/>
      <c r="N47" s="1113"/>
      <c r="O47" s="1113"/>
      <c r="Q47" s="78"/>
      <c r="R47" s="78"/>
      <c r="S47" s="78"/>
      <c r="T47" s="78"/>
      <c r="U47" s="1113"/>
    </row>
    <row r="48" customFormat="false" ht="14.25" hidden="false" customHeight="false" outlineLevel="0" collapsed="false">
      <c r="A48" s="1113"/>
      <c r="B48" s="1114"/>
      <c r="C48" s="1224" t="n">
        <f aca="false">C47+1</f>
        <v>27</v>
      </c>
      <c r="D48" s="1225"/>
      <c r="E48" s="1226"/>
      <c r="F48" s="1222" t="n">
        <f aca="false">E48*C48*D48</f>
        <v>0</v>
      </c>
      <c r="G48" s="1225"/>
      <c r="H48" s="1226"/>
      <c r="I48" s="1223" t="n">
        <f aca="false">H48*C48*G48</f>
        <v>0</v>
      </c>
      <c r="J48" s="1114"/>
      <c r="K48" s="1113"/>
      <c r="L48" s="1113"/>
      <c r="M48" s="1113"/>
      <c r="N48" s="1113"/>
      <c r="O48" s="1113"/>
      <c r="S48" s="78"/>
      <c r="U48" s="1113"/>
    </row>
    <row r="49" customFormat="false" ht="14.25" hidden="false" customHeight="false" outlineLevel="0" collapsed="false">
      <c r="A49" s="1113"/>
      <c r="B49" s="1114"/>
      <c r="C49" s="1224" t="n">
        <f aca="false">C48+1</f>
        <v>28</v>
      </c>
      <c r="D49" s="1225"/>
      <c r="E49" s="1226"/>
      <c r="F49" s="1222" t="n">
        <f aca="false">E49*C49*D49</f>
        <v>0</v>
      </c>
      <c r="G49" s="1225"/>
      <c r="H49" s="1226"/>
      <c r="I49" s="1223" t="n">
        <f aca="false">H49*C49*G49</f>
        <v>0</v>
      </c>
      <c r="J49" s="1114"/>
      <c r="K49" s="1113"/>
      <c r="L49" s="1113"/>
      <c r="M49" s="1113"/>
      <c r="N49" s="1113"/>
      <c r="O49" s="1113"/>
      <c r="S49" s="78"/>
      <c r="U49" s="1113"/>
    </row>
    <row r="50" customFormat="false" ht="14.25" hidden="false" customHeight="false" outlineLevel="0" collapsed="false">
      <c r="A50" s="1113"/>
      <c r="B50" s="1114"/>
      <c r="C50" s="1224" t="n">
        <f aca="false">C49+1</f>
        <v>29</v>
      </c>
      <c r="D50" s="1225"/>
      <c r="E50" s="1226"/>
      <c r="F50" s="1222" t="n">
        <f aca="false">E50*C50*D50</f>
        <v>0</v>
      </c>
      <c r="G50" s="1225"/>
      <c r="H50" s="1226"/>
      <c r="I50" s="1223" t="n">
        <f aca="false">H50*C50*G50</f>
        <v>0</v>
      </c>
      <c r="J50" s="1114"/>
      <c r="K50" s="1113"/>
      <c r="L50" s="1113"/>
      <c r="M50" s="1113"/>
      <c r="N50" s="1113"/>
      <c r="O50" s="1113"/>
      <c r="U50" s="1113"/>
    </row>
    <row r="51" customFormat="false" ht="14.25" hidden="false" customHeight="false" outlineLevel="0" collapsed="false">
      <c r="A51" s="1113"/>
      <c r="B51" s="1114"/>
      <c r="C51" s="1224" t="n">
        <f aca="false">C50+1</f>
        <v>30</v>
      </c>
      <c r="D51" s="1225"/>
      <c r="E51" s="1226"/>
      <c r="F51" s="1222" t="n">
        <f aca="false">E51*C51*D51</f>
        <v>0</v>
      </c>
      <c r="G51" s="1225"/>
      <c r="H51" s="1226"/>
      <c r="I51" s="1223" t="n">
        <f aca="false">H51*C51*G51</f>
        <v>0</v>
      </c>
      <c r="J51" s="1114"/>
      <c r="K51" s="1113"/>
      <c r="L51" s="1113"/>
      <c r="M51" s="1113"/>
      <c r="N51" s="1113"/>
      <c r="O51" s="1113"/>
      <c r="U51" s="1113"/>
    </row>
    <row r="52" customFormat="false" ht="14.25" hidden="false" customHeight="false" outlineLevel="0" collapsed="false">
      <c r="A52" s="1113"/>
      <c r="B52" s="1114"/>
      <c r="C52" s="1224" t="n">
        <f aca="false">C51+1</f>
        <v>31</v>
      </c>
      <c r="D52" s="1225"/>
      <c r="E52" s="1226"/>
      <c r="F52" s="1222" t="n">
        <f aca="false">E52*C52*D52</f>
        <v>0</v>
      </c>
      <c r="G52" s="1225"/>
      <c r="H52" s="1226"/>
      <c r="I52" s="1223" t="n">
        <f aca="false">H52*C52*G52</f>
        <v>0</v>
      </c>
      <c r="J52" s="1114"/>
      <c r="K52" s="1113"/>
      <c r="L52" s="1113"/>
      <c r="M52" s="1113"/>
      <c r="N52" s="1113"/>
      <c r="O52" s="1113"/>
      <c r="U52" s="1113"/>
    </row>
    <row r="53" customFormat="false" ht="14.25" hidden="false" customHeight="false" outlineLevel="0" collapsed="false">
      <c r="A53" s="1113"/>
      <c r="B53" s="1114"/>
      <c r="C53" s="1224" t="n">
        <f aca="false">C52+1</f>
        <v>32</v>
      </c>
      <c r="D53" s="1225"/>
      <c r="E53" s="1226"/>
      <c r="F53" s="1222" t="n">
        <f aca="false">E53*C53*D53</f>
        <v>0</v>
      </c>
      <c r="G53" s="1225"/>
      <c r="H53" s="1226"/>
      <c r="I53" s="1223" t="n">
        <f aca="false">H53*C53*G53</f>
        <v>0</v>
      </c>
      <c r="J53" s="1114"/>
      <c r="K53" s="1113"/>
      <c r="L53" s="1113"/>
      <c r="M53" s="1113"/>
      <c r="N53" s="1113"/>
      <c r="O53" s="1113"/>
      <c r="U53" s="1113"/>
    </row>
    <row r="54" customFormat="false" ht="14.25" hidden="false" customHeight="false" outlineLevel="0" collapsed="false">
      <c r="A54" s="1113"/>
      <c r="B54" s="1114"/>
      <c r="C54" s="1224" t="n">
        <f aca="false">C53+1</f>
        <v>33</v>
      </c>
      <c r="D54" s="1225"/>
      <c r="E54" s="1226"/>
      <c r="F54" s="1222" t="n">
        <f aca="false">E54*C54*D54</f>
        <v>0</v>
      </c>
      <c r="G54" s="1225"/>
      <c r="H54" s="1226"/>
      <c r="I54" s="1223" t="n">
        <f aca="false">H54*C54*G54</f>
        <v>0</v>
      </c>
      <c r="J54" s="1114"/>
      <c r="K54" s="1113"/>
      <c r="L54" s="1113"/>
      <c r="M54" s="1113"/>
      <c r="N54" s="1113"/>
      <c r="O54" s="1113"/>
      <c r="U54" s="1113"/>
    </row>
    <row r="55" customFormat="false" ht="14.25" hidden="false" customHeight="false" outlineLevel="0" collapsed="false">
      <c r="A55" s="1113"/>
      <c r="B55" s="1114"/>
      <c r="C55" s="1224" t="n">
        <f aca="false">C54+1</f>
        <v>34</v>
      </c>
      <c r="D55" s="1225"/>
      <c r="E55" s="1226"/>
      <c r="F55" s="1222" t="n">
        <f aca="false">E55*C55*D55</f>
        <v>0</v>
      </c>
      <c r="G55" s="1225"/>
      <c r="H55" s="1226"/>
      <c r="I55" s="1223" t="n">
        <f aca="false">H55*C55*G55</f>
        <v>0</v>
      </c>
      <c r="J55" s="1114"/>
      <c r="K55" s="1113"/>
      <c r="L55" s="1113"/>
      <c r="M55" s="1113"/>
      <c r="N55" s="1113"/>
      <c r="O55" s="1113"/>
      <c r="U55" s="1113"/>
    </row>
    <row r="56" customFormat="false" ht="14.25" hidden="false" customHeight="false" outlineLevel="0" collapsed="false">
      <c r="A56" s="1113"/>
      <c r="B56" s="1114"/>
      <c r="C56" s="1224" t="n">
        <f aca="false">C55+1</f>
        <v>35</v>
      </c>
      <c r="D56" s="1225"/>
      <c r="E56" s="1226"/>
      <c r="F56" s="1222" t="n">
        <f aca="false">E56*C56*D56</f>
        <v>0</v>
      </c>
      <c r="G56" s="1225"/>
      <c r="H56" s="1226"/>
      <c r="I56" s="1223" t="n">
        <f aca="false">H56*C56*G56</f>
        <v>0</v>
      </c>
      <c r="J56" s="1114"/>
      <c r="K56" s="1113"/>
      <c r="L56" s="1113"/>
      <c r="M56" s="1113"/>
      <c r="N56" s="1113"/>
      <c r="O56" s="1113"/>
      <c r="U56" s="1113"/>
    </row>
    <row r="57" customFormat="false" ht="14.25" hidden="false" customHeight="false" outlineLevel="0" collapsed="false">
      <c r="A57" s="1113"/>
      <c r="B57" s="1114"/>
      <c r="C57" s="1224" t="n">
        <f aca="false">C56+1</f>
        <v>36</v>
      </c>
      <c r="D57" s="1225"/>
      <c r="E57" s="1226"/>
      <c r="F57" s="1222" t="n">
        <f aca="false">E57*C57*D57</f>
        <v>0</v>
      </c>
      <c r="G57" s="1225"/>
      <c r="H57" s="1226"/>
      <c r="I57" s="1223" t="n">
        <f aca="false">H57*C57*G57</f>
        <v>0</v>
      </c>
      <c r="J57" s="1114"/>
      <c r="K57" s="1113"/>
      <c r="L57" s="1113"/>
      <c r="M57" s="1113"/>
      <c r="N57" s="1113"/>
      <c r="O57" s="1113"/>
      <c r="U57" s="1113"/>
    </row>
    <row r="58" customFormat="false" ht="14.25" hidden="false" customHeight="false" outlineLevel="0" collapsed="false">
      <c r="A58" s="1113"/>
      <c r="B58" s="1114"/>
      <c r="C58" s="1227" t="s">
        <v>889</v>
      </c>
      <c r="D58" s="1227"/>
      <c r="E58" s="1228" t="s">
        <v>890</v>
      </c>
      <c r="F58" s="1229"/>
      <c r="G58" s="1114"/>
      <c r="H58" s="1228" t="s">
        <v>890</v>
      </c>
      <c r="I58" s="1230"/>
      <c r="J58" s="1114"/>
      <c r="K58" s="1113"/>
      <c r="L58" s="1113"/>
      <c r="M58" s="1113"/>
      <c r="N58" s="1113"/>
      <c r="O58" s="1113"/>
      <c r="U58" s="1113"/>
    </row>
    <row r="59" customFormat="false" ht="14.25" hidden="false" customHeight="false" outlineLevel="0" collapsed="false">
      <c r="A59" s="1113"/>
      <c r="B59" s="1114"/>
      <c r="C59" s="1231"/>
      <c r="D59" s="1231"/>
      <c r="E59" s="1231"/>
      <c r="F59" s="1232"/>
      <c r="G59" s="1232"/>
      <c r="H59" s="1233" t="s">
        <v>891</v>
      </c>
      <c r="I59" s="1234" t="n">
        <f aca="false">SUM(I22:I58)+SUM(F22:F58)</f>
        <v>0</v>
      </c>
      <c r="J59" s="1114"/>
      <c r="K59" s="1113"/>
      <c r="L59" s="1113"/>
      <c r="M59" s="1113"/>
      <c r="N59" s="1113"/>
      <c r="O59" s="1113"/>
      <c r="U59" s="1113"/>
    </row>
    <row r="60" customFormat="false" ht="14.25" hidden="false" customHeight="false" outlineLevel="0" collapsed="false">
      <c r="A60" s="1113"/>
      <c r="B60" s="1114"/>
      <c r="C60" s="1235" t="s">
        <v>892</v>
      </c>
      <c r="D60" s="1235"/>
      <c r="E60" s="1235"/>
      <c r="F60" s="1235"/>
      <c r="G60" s="1235"/>
      <c r="H60" s="1235"/>
      <c r="I60" s="1235"/>
      <c r="J60" s="1114"/>
      <c r="K60" s="1113"/>
      <c r="L60" s="1113"/>
      <c r="M60" s="1113"/>
      <c r="N60" s="1113"/>
      <c r="O60" s="1113"/>
      <c r="U60" s="1113"/>
    </row>
  </sheetData>
  <sheetProtection algorithmName="SHA-512" hashValue="7f8Ha/EqA5rx7gclVBCL8u58FtSiUI21jwpadsyy1YK2t2vqwunx/GlJTmkmRTx+C36dzCmr3t9vCiWVD6LCJQ==" saltValue="LtNpHBovxTD1AwVJyMDp8A==" spinCount="100000" sheet="true" objects="true" scenarios="true"/>
  <mergeCells count="17">
    <mergeCell ref="C3:I3"/>
    <mergeCell ref="C4:I4"/>
    <mergeCell ref="C6:I6"/>
    <mergeCell ref="C8:I8"/>
    <mergeCell ref="C9:I9"/>
    <mergeCell ref="E11:G11"/>
    <mergeCell ref="C13:I13"/>
    <mergeCell ref="C14:D14"/>
    <mergeCell ref="F14:G14"/>
    <mergeCell ref="C15:D15"/>
    <mergeCell ref="F15:G15"/>
    <mergeCell ref="F16:G16"/>
    <mergeCell ref="C17:D17"/>
    <mergeCell ref="F17:G17"/>
    <mergeCell ref="C58:D58"/>
    <mergeCell ref="C59:E59"/>
    <mergeCell ref="C60:I60"/>
  </mergeCells>
  <conditionalFormatting sqref="C27:C50">
    <cfRule type="expression" priority="2" aboveAverage="0" equalAverage="0" bottom="0" percent="0" rank="0" text="" dxfId="43">
      <formula>($C$16="Irregular")</formula>
    </cfRule>
  </conditionalFormatting>
  <dataValidations count="2">
    <dataValidation allowBlank="true" error="Enter a dollar amount greater than zero." errorStyle="stop" operator="greaterThanOrEqual" showDropDown="false" showErrorMessage="true" showInputMessage="true" sqref="E10 G10 E12 G12 E14:E15 H15:I15" type="decimal">
      <formula1>0</formula1>
      <formula2>0</formula2>
    </dataValidation>
    <dataValidation allowBlank="true" error="Enter a whole quantity greater than zero." errorStyle="stop" operator="greaterThan" showDropDown="false" showErrorMessage="true" showInputMessage="true" sqref="H16:I16 D22:D57 G22:G57" type="whole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5" activeCellId="0" sqref="C25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140.62"/>
    <col collapsed="false" customWidth="true" hidden="false" outlineLevel="0" max="5" min="4" style="1" width="3.62"/>
    <col collapsed="false" customWidth="true" hidden="true" outlineLevel="0" max="15" min="6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1236"/>
      <c r="B1" s="1237"/>
      <c r="C1" s="1237"/>
      <c r="D1" s="1237"/>
      <c r="E1" s="1237"/>
      <c r="F1" s="1237"/>
      <c r="G1" s="1237"/>
      <c r="H1" s="1237"/>
      <c r="I1" s="1237"/>
      <c r="J1" s="1237"/>
      <c r="K1" s="1237"/>
      <c r="L1" s="1237"/>
      <c r="M1" s="1237"/>
      <c r="N1" s="1237"/>
      <c r="O1" s="1237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1237"/>
    </row>
    <row r="2" customFormat="false" ht="14.25" hidden="false" customHeight="false" outlineLevel="0" collapsed="false">
      <c r="A2" s="1237"/>
      <c r="B2" s="113"/>
      <c r="C2" s="81" t="str">
        <f aca="false">Contents!B59</f>
        <v>Version: AS L 6 LARGE locked LOCAL</v>
      </c>
      <c r="D2" s="113"/>
      <c r="E2" s="1237"/>
      <c r="F2" s="1238"/>
      <c r="G2" s="1238"/>
      <c r="H2" s="1238"/>
      <c r="I2" s="1238"/>
      <c r="J2" s="1238"/>
      <c r="K2" s="1238"/>
      <c r="L2" s="1238"/>
      <c r="M2" s="1238"/>
      <c r="N2" s="1238"/>
      <c r="O2" s="1238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1237"/>
    </row>
    <row r="3" customFormat="false" ht="14.25" hidden="false" customHeight="false" outlineLevel="0" collapsed="false">
      <c r="A3" s="1237"/>
      <c r="B3" s="113"/>
      <c r="C3" s="1239" t="str">
        <f aca="false">Contents!$E$3</f>
        <v>THE SOCIETY FOR CREATIVE ANACHRONISM, INC.</v>
      </c>
      <c r="D3" s="113"/>
      <c r="E3" s="1237"/>
      <c r="F3" s="1238"/>
      <c r="G3" s="1238"/>
      <c r="H3" s="1238"/>
      <c r="I3" s="1238"/>
      <c r="J3" s="1238"/>
      <c r="K3" s="1238"/>
      <c r="L3" s="1238"/>
      <c r="M3" s="1238"/>
      <c r="N3" s="1238"/>
      <c r="O3" s="1238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1237"/>
    </row>
    <row r="4" customFormat="false" ht="14.25" hidden="false" customHeight="false" outlineLevel="0" collapsed="false">
      <c r="A4" s="1237"/>
      <c r="B4" s="113"/>
      <c r="C4" s="1239" t="str">
        <f aca="false">Contents!$E$4</f>
        <v>FINANCIAL REPORT</v>
      </c>
      <c r="D4" s="113"/>
      <c r="E4" s="1237"/>
      <c r="F4" s="1238"/>
      <c r="G4" s="1238"/>
      <c r="H4" s="1238"/>
      <c r="I4" s="1238"/>
      <c r="J4" s="1238"/>
      <c r="K4" s="1238"/>
      <c r="L4" s="1238"/>
      <c r="M4" s="1238"/>
      <c r="N4" s="1238"/>
      <c r="O4" s="1238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1237"/>
    </row>
    <row r="5" customFormat="false" ht="14.25" hidden="false" customHeight="false" outlineLevel="0" collapsed="false">
      <c r="A5" s="1237"/>
      <c r="B5" s="113"/>
      <c r="C5" s="1240"/>
      <c r="D5" s="113"/>
      <c r="E5" s="1237"/>
      <c r="F5" s="1238"/>
      <c r="G5" s="1238"/>
      <c r="H5" s="1238"/>
      <c r="I5" s="1238"/>
      <c r="J5" s="1238"/>
      <c r="K5" s="1238"/>
      <c r="L5" s="1238"/>
      <c r="M5" s="1238"/>
      <c r="N5" s="1238"/>
      <c r="O5" s="1238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1237"/>
    </row>
    <row r="6" customFormat="false" ht="14.25" hidden="false" customHeight="false" outlineLevel="0" collapsed="false">
      <c r="A6" s="1237"/>
      <c r="B6" s="113"/>
      <c r="C6" s="1240" t="str">
        <f aca="false">Contents!B58</f>
        <v>Branch:   SCA, Inc.- Middle Kingdom                                               Period:  1/01/2025             to     12/31/2025            .</v>
      </c>
      <c r="D6" s="113"/>
      <c r="E6" s="1237"/>
      <c r="F6" s="1238"/>
      <c r="G6" s="1238"/>
      <c r="H6" s="1238"/>
      <c r="I6" s="1238"/>
      <c r="J6" s="1238"/>
      <c r="K6" s="1238"/>
      <c r="L6" s="1238"/>
      <c r="M6" s="1238"/>
      <c r="N6" s="1238"/>
      <c r="O6" s="1238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1237"/>
    </row>
    <row r="7" customFormat="false" ht="17.35" hidden="false" customHeight="false" outlineLevel="0" collapsed="false">
      <c r="A7" s="1237"/>
      <c r="B7" s="113"/>
      <c r="C7" s="1241" t="s">
        <v>64</v>
      </c>
      <c r="D7" s="113"/>
      <c r="E7" s="1237"/>
      <c r="F7" s="1238"/>
      <c r="G7" s="1238"/>
      <c r="H7" s="1238"/>
      <c r="I7" s="1238"/>
      <c r="J7" s="1238"/>
      <c r="K7" s="1238"/>
      <c r="L7" s="1238"/>
      <c r="M7" s="1238"/>
      <c r="N7" s="1238"/>
      <c r="O7" s="1238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1237"/>
    </row>
    <row r="8" customFormat="false" ht="15" hidden="false" customHeight="false" outlineLevel="0" collapsed="false">
      <c r="A8" s="1237"/>
      <c r="B8" s="113"/>
      <c r="C8" s="1242"/>
      <c r="D8" s="113"/>
      <c r="E8" s="1237"/>
      <c r="F8" s="1238"/>
      <c r="G8" s="1238"/>
      <c r="H8" s="1238"/>
      <c r="I8" s="1238"/>
      <c r="J8" s="1238"/>
      <c r="K8" s="1238"/>
      <c r="L8" s="1238"/>
      <c r="M8" s="1238"/>
      <c r="N8" s="1238"/>
      <c r="O8" s="1238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1237"/>
    </row>
    <row r="9" customFormat="false" ht="15" hidden="false" customHeight="false" outlineLevel="0" collapsed="false">
      <c r="A9" s="1237"/>
      <c r="B9" s="113"/>
      <c r="C9" s="1243"/>
      <c r="D9" s="113"/>
      <c r="E9" s="1237"/>
      <c r="F9" s="1238"/>
      <c r="G9" s="1238"/>
      <c r="H9" s="1238"/>
      <c r="I9" s="1238"/>
      <c r="J9" s="1238"/>
      <c r="K9" s="1238"/>
      <c r="L9" s="1238"/>
      <c r="M9" s="1238"/>
      <c r="N9" s="1238"/>
      <c r="O9" s="1238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1237"/>
    </row>
    <row r="10" customFormat="false" ht="15" hidden="false" customHeight="false" outlineLevel="0" collapsed="false">
      <c r="A10" s="1237"/>
      <c r="B10" s="113"/>
      <c r="C10" s="1243"/>
      <c r="D10" s="113"/>
      <c r="E10" s="1237"/>
      <c r="F10" s="1238"/>
      <c r="G10" s="1238"/>
      <c r="H10" s="1238"/>
      <c r="I10" s="1238"/>
      <c r="J10" s="1238"/>
      <c r="K10" s="1238"/>
      <c r="L10" s="1238"/>
      <c r="M10" s="1238"/>
      <c r="N10" s="1238"/>
      <c r="O10" s="1238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237"/>
    </row>
    <row r="11" customFormat="false" ht="15" hidden="false" customHeight="false" outlineLevel="0" collapsed="false">
      <c r="A11" s="1237"/>
      <c r="B11" s="113"/>
      <c r="C11" s="1243"/>
      <c r="D11" s="113"/>
      <c r="E11" s="1237"/>
      <c r="F11" s="1238"/>
      <c r="G11" s="1238"/>
      <c r="H11" s="1238"/>
      <c r="I11" s="1238"/>
      <c r="J11" s="1238"/>
      <c r="K11" s="1238"/>
      <c r="L11" s="1238"/>
      <c r="M11" s="1238"/>
      <c r="N11" s="1238"/>
      <c r="O11" s="1238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237"/>
    </row>
    <row r="12" customFormat="false" ht="15" hidden="false" customHeight="false" outlineLevel="0" collapsed="false">
      <c r="A12" s="1237"/>
      <c r="B12" s="113"/>
      <c r="C12" s="1243"/>
      <c r="D12" s="113"/>
      <c r="E12" s="1237"/>
      <c r="F12" s="1238"/>
      <c r="G12" s="1238"/>
      <c r="H12" s="1238"/>
      <c r="I12" s="1238"/>
      <c r="J12" s="1238"/>
      <c r="K12" s="1238"/>
      <c r="L12" s="1238"/>
      <c r="M12" s="1238"/>
      <c r="N12" s="1238"/>
      <c r="O12" s="1238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237"/>
    </row>
    <row r="13" customFormat="false" ht="15" hidden="false" customHeight="false" outlineLevel="0" collapsed="false">
      <c r="A13" s="1237"/>
      <c r="B13" s="113"/>
      <c r="C13" s="1243"/>
      <c r="D13" s="113"/>
      <c r="E13" s="1237"/>
      <c r="F13" s="1238"/>
      <c r="G13" s="1238"/>
      <c r="H13" s="1238"/>
      <c r="I13" s="1238"/>
      <c r="J13" s="1238"/>
      <c r="K13" s="1238"/>
      <c r="L13" s="1238"/>
      <c r="M13" s="1238"/>
      <c r="N13" s="1238"/>
      <c r="O13" s="1238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237"/>
    </row>
    <row r="14" customFormat="false" ht="15" hidden="false" customHeight="false" outlineLevel="0" collapsed="false">
      <c r="A14" s="1237"/>
      <c r="B14" s="113"/>
      <c r="C14" s="1243"/>
      <c r="D14" s="113"/>
      <c r="E14" s="1237"/>
      <c r="F14" s="1238"/>
      <c r="G14" s="1238"/>
      <c r="H14" s="1238"/>
      <c r="I14" s="1238"/>
      <c r="J14" s="1238"/>
      <c r="K14" s="1238"/>
      <c r="L14" s="1238"/>
      <c r="M14" s="1238"/>
      <c r="N14" s="1238"/>
      <c r="O14" s="1238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237"/>
    </row>
    <row r="15" customFormat="false" ht="15" hidden="false" customHeight="false" outlineLevel="0" collapsed="false">
      <c r="A15" s="1237"/>
      <c r="B15" s="113"/>
      <c r="C15" s="1243"/>
      <c r="D15" s="113"/>
      <c r="E15" s="1237"/>
      <c r="F15" s="1238"/>
      <c r="G15" s="1238"/>
      <c r="H15" s="1238"/>
      <c r="I15" s="1238"/>
      <c r="J15" s="1238"/>
      <c r="K15" s="1238"/>
      <c r="L15" s="1238"/>
      <c r="M15" s="1238"/>
      <c r="N15" s="1238"/>
      <c r="O15" s="1238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237"/>
    </row>
    <row r="16" customFormat="false" ht="15" hidden="false" customHeight="false" outlineLevel="0" collapsed="false">
      <c r="A16" s="1237"/>
      <c r="B16" s="113"/>
      <c r="C16" s="1243"/>
      <c r="D16" s="113"/>
      <c r="E16" s="1237"/>
      <c r="F16" s="1238"/>
      <c r="G16" s="1238"/>
      <c r="H16" s="1238"/>
      <c r="I16" s="1238"/>
      <c r="J16" s="1238"/>
      <c r="K16" s="1238"/>
      <c r="L16" s="1238"/>
      <c r="M16" s="1238"/>
      <c r="N16" s="1238"/>
      <c r="O16" s="1238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1237"/>
    </row>
    <row r="17" customFormat="false" ht="15" hidden="false" customHeight="false" outlineLevel="0" collapsed="false">
      <c r="A17" s="1237"/>
      <c r="B17" s="113"/>
      <c r="C17" s="1243"/>
      <c r="D17" s="113"/>
      <c r="E17" s="1237"/>
      <c r="F17" s="1238"/>
      <c r="G17" s="1238"/>
      <c r="H17" s="1238"/>
      <c r="I17" s="1238"/>
      <c r="J17" s="1238"/>
      <c r="K17" s="1238"/>
      <c r="L17" s="1238"/>
      <c r="M17" s="1238"/>
      <c r="N17" s="1238"/>
      <c r="O17" s="1238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1237"/>
    </row>
    <row r="18" customFormat="false" ht="15" hidden="false" customHeight="false" outlineLevel="0" collapsed="false">
      <c r="A18" s="1237"/>
      <c r="B18" s="113"/>
      <c r="C18" s="1243"/>
      <c r="D18" s="113"/>
      <c r="E18" s="1237"/>
      <c r="F18" s="1238"/>
      <c r="G18" s="1238"/>
      <c r="H18" s="1238"/>
      <c r="I18" s="1238"/>
      <c r="J18" s="1238"/>
      <c r="K18" s="1238"/>
      <c r="L18" s="1238"/>
      <c r="M18" s="1238"/>
      <c r="N18" s="1238"/>
      <c r="O18" s="1238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1237"/>
    </row>
    <row r="19" customFormat="false" ht="15" hidden="false" customHeight="false" outlineLevel="0" collapsed="false">
      <c r="A19" s="1237"/>
      <c r="B19" s="113"/>
      <c r="C19" s="1243"/>
      <c r="D19" s="113"/>
      <c r="E19" s="1237"/>
      <c r="F19" s="1238"/>
      <c r="G19" s="1238"/>
      <c r="H19" s="1238"/>
      <c r="I19" s="1238"/>
      <c r="J19" s="1238"/>
      <c r="K19" s="1238"/>
      <c r="L19" s="1238"/>
      <c r="M19" s="1238"/>
      <c r="N19" s="1238"/>
      <c r="O19" s="1238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1237"/>
    </row>
    <row r="20" customFormat="false" ht="15" hidden="false" customHeight="false" outlineLevel="0" collapsed="false">
      <c r="A20" s="1237"/>
      <c r="B20" s="113"/>
      <c r="C20" s="1243"/>
      <c r="D20" s="113"/>
      <c r="E20" s="1237"/>
      <c r="F20" s="1238"/>
      <c r="G20" s="1238"/>
      <c r="H20" s="1238"/>
      <c r="I20" s="1238"/>
      <c r="J20" s="1238"/>
      <c r="K20" s="1238"/>
      <c r="L20" s="1238"/>
      <c r="M20" s="1238"/>
      <c r="N20" s="1238"/>
      <c r="O20" s="1238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1237"/>
    </row>
    <row r="21" customFormat="false" ht="15" hidden="false" customHeight="false" outlineLevel="0" collapsed="false">
      <c r="A21" s="1237"/>
      <c r="B21" s="113"/>
      <c r="C21" s="1243"/>
      <c r="D21" s="113"/>
      <c r="E21" s="1237"/>
      <c r="F21" s="1238"/>
      <c r="G21" s="1238"/>
      <c r="H21" s="1238"/>
      <c r="I21" s="1238"/>
      <c r="J21" s="1238"/>
      <c r="K21" s="1238"/>
      <c r="L21" s="1238"/>
      <c r="M21" s="1238"/>
      <c r="N21" s="1238"/>
      <c r="O21" s="1238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1237"/>
    </row>
    <row r="22" customFormat="false" ht="15" hidden="false" customHeight="false" outlineLevel="0" collapsed="false">
      <c r="A22" s="1237"/>
      <c r="B22" s="113"/>
      <c r="C22" s="1243"/>
      <c r="D22" s="113"/>
      <c r="E22" s="1237"/>
      <c r="F22" s="1238"/>
      <c r="G22" s="1238"/>
      <c r="H22" s="1238"/>
      <c r="I22" s="1238"/>
      <c r="J22" s="1238"/>
      <c r="K22" s="1238"/>
      <c r="L22" s="1238"/>
      <c r="M22" s="1238"/>
      <c r="N22" s="1238"/>
      <c r="O22" s="1238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1237"/>
    </row>
    <row r="23" customFormat="false" ht="15" hidden="false" customHeight="false" outlineLevel="0" collapsed="false">
      <c r="A23" s="1237"/>
      <c r="B23" s="113"/>
      <c r="C23" s="1243"/>
      <c r="D23" s="113"/>
      <c r="E23" s="1237"/>
      <c r="F23" s="1238"/>
      <c r="G23" s="1238"/>
      <c r="H23" s="1238"/>
      <c r="I23" s="1238"/>
      <c r="J23" s="1238"/>
      <c r="K23" s="1238"/>
      <c r="L23" s="1238"/>
      <c r="M23" s="1238"/>
      <c r="N23" s="1238"/>
      <c r="O23" s="1238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1237"/>
    </row>
    <row r="24" customFormat="false" ht="15" hidden="false" customHeight="false" outlineLevel="0" collapsed="false">
      <c r="A24" s="1237"/>
      <c r="B24" s="113"/>
      <c r="C24" s="1243"/>
      <c r="D24" s="113"/>
      <c r="E24" s="1237"/>
      <c r="F24" s="1238"/>
      <c r="G24" s="1238"/>
      <c r="H24" s="1238"/>
      <c r="I24" s="1238"/>
      <c r="J24" s="1238"/>
      <c r="K24" s="1238"/>
      <c r="L24" s="1238"/>
      <c r="M24" s="1238"/>
      <c r="N24" s="1238"/>
      <c r="O24" s="1238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1237"/>
    </row>
    <row r="25" customFormat="false" ht="15" hidden="false" customHeight="false" outlineLevel="0" collapsed="false">
      <c r="A25" s="1237"/>
      <c r="B25" s="113"/>
      <c r="C25" s="1243"/>
      <c r="D25" s="113"/>
      <c r="E25" s="1237"/>
      <c r="F25" s="1238"/>
      <c r="G25" s="1238"/>
      <c r="H25" s="1238"/>
      <c r="I25" s="1238"/>
      <c r="J25" s="1238"/>
      <c r="K25" s="1238"/>
      <c r="L25" s="1238"/>
      <c r="M25" s="1238"/>
      <c r="N25" s="1238"/>
      <c r="O25" s="1238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1237"/>
    </row>
    <row r="26" customFormat="false" ht="15" hidden="false" customHeight="false" outlineLevel="0" collapsed="false">
      <c r="A26" s="1237"/>
      <c r="B26" s="113"/>
      <c r="C26" s="1243"/>
      <c r="D26" s="113"/>
      <c r="E26" s="1237"/>
      <c r="F26" s="1238"/>
      <c r="G26" s="1238"/>
      <c r="H26" s="1238"/>
      <c r="I26" s="1238"/>
      <c r="J26" s="1238"/>
      <c r="K26" s="1238"/>
      <c r="L26" s="1238"/>
      <c r="M26" s="1238"/>
      <c r="N26" s="1238"/>
      <c r="O26" s="1238"/>
      <c r="P26" s="79" t="s">
        <v>174</v>
      </c>
      <c r="Q26" s="78"/>
      <c r="R26" s="78"/>
      <c r="S26" s="79" t="s">
        <v>83</v>
      </c>
      <c r="T26" s="79" t="s">
        <v>174</v>
      </c>
      <c r="U26" s="1237"/>
    </row>
    <row r="27" customFormat="false" ht="15" hidden="false" customHeight="false" outlineLevel="0" collapsed="false">
      <c r="A27" s="1237"/>
      <c r="B27" s="113"/>
      <c r="C27" s="1243"/>
      <c r="D27" s="113"/>
      <c r="E27" s="1237"/>
      <c r="F27" s="1238"/>
      <c r="G27" s="1238"/>
      <c r="H27" s="1238"/>
      <c r="I27" s="1238"/>
      <c r="J27" s="1238"/>
      <c r="K27" s="1238"/>
      <c r="L27" s="1238"/>
      <c r="M27" s="1238"/>
      <c r="N27" s="1238"/>
      <c r="O27" s="1238"/>
      <c r="P27" s="79" t="s">
        <v>177</v>
      </c>
      <c r="Q27" s="78"/>
      <c r="R27" s="78"/>
      <c r="S27" s="79" t="s">
        <v>85</v>
      </c>
      <c r="T27" s="79" t="s">
        <v>76</v>
      </c>
      <c r="U27" s="1237"/>
    </row>
    <row r="28" customFormat="false" ht="15" hidden="false" customHeight="false" outlineLevel="0" collapsed="false">
      <c r="A28" s="1237"/>
      <c r="B28" s="113"/>
      <c r="C28" s="1243"/>
      <c r="D28" s="113"/>
      <c r="E28" s="1237"/>
      <c r="F28" s="1238"/>
      <c r="G28" s="1238"/>
      <c r="H28" s="1238"/>
      <c r="I28" s="1238"/>
      <c r="J28" s="1238"/>
      <c r="K28" s="1238"/>
      <c r="L28" s="1238"/>
      <c r="M28" s="1238"/>
      <c r="N28" s="1238"/>
      <c r="O28" s="1238"/>
      <c r="P28" s="79" t="s">
        <v>178</v>
      </c>
      <c r="Q28" s="78"/>
      <c r="R28" s="78"/>
      <c r="S28" s="79" t="s">
        <v>86</v>
      </c>
      <c r="T28" s="79" t="s">
        <v>78</v>
      </c>
      <c r="U28" s="1237"/>
    </row>
    <row r="29" customFormat="false" ht="15" hidden="false" customHeight="false" outlineLevel="0" collapsed="false">
      <c r="A29" s="1237"/>
      <c r="B29" s="113"/>
      <c r="C29" s="1243"/>
      <c r="D29" s="113"/>
      <c r="E29" s="1237"/>
      <c r="F29" s="1238"/>
      <c r="G29" s="1238"/>
      <c r="H29" s="1238"/>
      <c r="I29" s="1238"/>
      <c r="J29" s="1238"/>
      <c r="K29" s="1238"/>
      <c r="L29" s="1238"/>
      <c r="M29" s="1238"/>
      <c r="N29" s="1238"/>
      <c r="O29" s="1238"/>
      <c r="P29" s="79" t="s">
        <v>179</v>
      </c>
      <c r="Q29" s="78"/>
      <c r="R29" s="78"/>
      <c r="S29" s="79" t="s">
        <v>87</v>
      </c>
      <c r="T29" s="79" t="s">
        <v>79</v>
      </c>
      <c r="U29" s="1237"/>
    </row>
    <row r="30" customFormat="false" ht="15" hidden="false" customHeight="false" outlineLevel="0" collapsed="false">
      <c r="A30" s="1237"/>
      <c r="B30" s="113"/>
      <c r="C30" s="1243"/>
      <c r="D30" s="113"/>
      <c r="E30" s="1237"/>
      <c r="F30" s="1238"/>
      <c r="G30" s="1238"/>
      <c r="H30" s="1238"/>
      <c r="I30" s="1238"/>
      <c r="J30" s="1238"/>
      <c r="K30" s="1238"/>
      <c r="L30" s="1238"/>
      <c r="M30" s="1238"/>
      <c r="N30" s="1238"/>
      <c r="O30" s="1238"/>
      <c r="P30" s="79" t="s">
        <v>180</v>
      </c>
      <c r="Q30" s="78"/>
      <c r="R30" s="78"/>
      <c r="S30" s="79" t="s">
        <v>91</v>
      </c>
      <c r="T30" s="79" t="s">
        <v>81</v>
      </c>
      <c r="U30" s="1237"/>
    </row>
    <row r="31" customFormat="false" ht="15" hidden="false" customHeight="false" outlineLevel="0" collapsed="false">
      <c r="A31" s="1237"/>
      <c r="B31" s="113"/>
      <c r="C31" s="1243"/>
      <c r="D31" s="113"/>
      <c r="E31" s="1237"/>
      <c r="F31" s="1238"/>
      <c r="G31" s="1238"/>
      <c r="H31" s="1238"/>
      <c r="I31" s="1238"/>
      <c r="J31" s="1238"/>
      <c r="K31" s="1238"/>
      <c r="L31" s="1238"/>
      <c r="M31" s="1238"/>
      <c r="N31" s="1238"/>
      <c r="O31" s="1238"/>
      <c r="P31" s="79" t="s">
        <v>181</v>
      </c>
      <c r="Q31" s="78"/>
      <c r="R31" s="78"/>
      <c r="S31" s="78"/>
      <c r="T31" s="79" t="s">
        <v>83</v>
      </c>
      <c r="U31" s="1237"/>
    </row>
    <row r="32" customFormat="false" ht="15" hidden="false" customHeight="false" outlineLevel="0" collapsed="false">
      <c r="A32" s="1237"/>
      <c r="B32" s="113"/>
      <c r="C32" s="1243"/>
      <c r="D32" s="113"/>
      <c r="E32" s="1237"/>
      <c r="F32" s="1238"/>
      <c r="G32" s="1238"/>
      <c r="H32" s="1238"/>
      <c r="I32" s="1238"/>
      <c r="J32" s="1238"/>
      <c r="K32" s="1238"/>
      <c r="L32" s="1238"/>
      <c r="M32" s="1238"/>
      <c r="N32" s="1238"/>
      <c r="O32" s="1238"/>
      <c r="P32" s="79" t="s">
        <v>76</v>
      </c>
      <c r="Q32" s="78"/>
      <c r="R32" s="78"/>
      <c r="S32" s="78"/>
      <c r="T32" s="79" t="s">
        <v>85</v>
      </c>
      <c r="U32" s="1237"/>
    </row>
    <row r="33" customFormat="false" ht="14.25" hidden="false" customHeight="false" outlineLevel="0" collapsed="false">
      <c r="A33" s="1237"/>
      <c r="B33" s="113"/>
      <c r="C33" s="1240"/>
      <c r="D33" s="113"/>
      <c r="E33" s="1237"/>
      <c r="F33" s="1238"/>
      <c r="G33" s="1238"/>
      <c r="H33" s="1238"/>
      <c r="I33" s="1238"/>
      <c r="J33" s="1238"/>
      <c r="K33" s="1238"/>
      <c r="L33" s="1238"/>
      <c r="M33" s="1238"/>
      <c r="N33" s="1238"/>
      <c r="O33" s="1238"/>
      <c r="P33" s="79" t="s">
        <v>78</v>
      </c>
      <c r="Q33" s="78"/>
      <c r="R33" s="78"/>
      <c r="S33" s="78"/>
      <c r="T33" s="79" t="s">
        <v>86</v>
      </c>
      <c r="U33" s="1237"/>
    </row>
    <row r="34" customFormat="false" ht="14.25" hidden="false" customHeight="false" outlineLevel="0" collapsed="false">
      <c r="A34" s="1237"/>
      <c r="B34" s="1237"/>
      <c r="C34" s="1237"/>
      <c r="D34" s="1237"/>
      <c r="E34" s="1237"/>
      <c r="F34" s="1237"/>
      <c r="G34" s="1237"/>
      <c r="H34" s="1237"/>
      <c r="I34" s="1237"/>
      <c r="J34" s="1237"/>
      <c r="K34" s="1237"/>
      <c r="L34" s="1237"/>
      <c r="M34" s="1237"/>
      <c r="N34" s="1237"/>
      <c r="O34" s="1237"/>
      <c r="P34" s="79" t="s">
        <v>79</v>
      </c>
      <c r="Q34" s="78"/>
      <c r="R34" s="78"/>
      <c r="S34" s="78"/>
      <c r="T34" s="79" t="s">
        <v>87</v>
      </c>
      <c r="U34" s="1237"/>
    </row>
    <row r="35" customFormat="false" ht="14.25" hidden="false" customHeight="false" outlineLevel="0" collapsed="false">
      <c r="A35" s="1237"/>
      <c r="B35" s="1237"/>
      <c r="C35" s="1237"/>
      <c r="D35" s="1237"/>
      <c r="E35" s="1237"/>
      <c r="F35" s="1237"/>
      <c r="G35" s="1237"/>
      <c r="H35" s="1237"/>
      <c r="I35" s="1237"/>
      <c r="J35" s="1237"/>
      <c r="K35" s="1237"/>
      <c r="L35" s="1237"/>
      <c r="M35" s="1237"/>
      <c r="N35" s="1237"/>
      <c r="O35" s="1237"/>
      <c r="P35" s="79" t="s">
        <v>81</v>
      </c>
      <c r="Q35" s="78"/>
      <c r="R35" s="78"/>
      <c r="S35" s="78"/>
      <c r="T35" s="79" t="s">
        <v>89</v>
      </c>
      <c r="U35" s="1237"/>
    </row>
    <row r="36" customFormat="false" ht="14.25" hidden="false" customHeight="false" outlineLevel="0" collapsed="false">
      <c r="A36" s="1237"/>
      <c r="B36" s="1237"/>
      <c r="C36" s="1237"/>
      <c r="D36" s="1237"/>
      <c r="E36" s="1237"/>
      <c r="F36" s="1237"/>
      <c r="G36" s="1237"/>
      <c r="H36" s="1237"/>
      <c r="I36" s="1237"/>
      <c r="J36" s="1237"/>
      <c r="K36" s="1237"/>
      <c r="L36" s="1237"/>
      <c r="M36" s="1237"/>
      <c r="N36" s="1237"/>
      <c r="O36" s="1237"/>
      <c r="P36" s="79" t="s">
        <v>83</v>
      </c>
      <c r="Q36" s="78"/>
      <c r="R36" s="78"/>
      <c r="S36" s="78"/>
      <c r="T36" s="79" t="s">
        <v>90</v>
      </c>
      <c r="U36" s="1237"/>
    </row>
    <row r="37" customFormat="false" ht="14.25" hidden="false" customHeight="false" outlineLevel="0" collapsed="false">
      <c r="A37" s="1237"/>
      <c r="B37" s="1237"/>
      <c r="C37" s="1237"/>
      <c r="D37" s="1237"/>
      <c r="E37" s="1237"/>
      <c r="F37" s="1237"/>
      <c r="G37" s="1237"/>
      <c r="H37" s="1237"/>
      <c r="I37" s="1237"/>
      <c r="J37" s="1237"/>
      <c r="K37" s="1237"/>
      <c r="L37" s="1237"/>
      <c r="M37" s="1237"/>
      <c r="N37" s="1237"/>
      <c r="O37" s="1237"/>
      <c r="P37" s="79" t="s">
        <v>85</v>
      </c>
      <c r="Q37" s="78"/>
      <c r="R37" s="78"/>
      <c r="S37" s="78"/>
      <c r="T37" s="79" t="s">
        <v>192</v>
      </c>
      <c r="U37" s="1237"/>
    </row>
    <row r="38" customFormat="false" ht="14.25" hidden="false" customHeight="false" outlineLevel="0" collapsed="false">
      <c r="A38" s="1237"/>
      <c r="B38" s="1237"/>
      <c r="C38" s="1237"/>
      <c r="D38" s="1237"/>
      <c r="E38" s="1237"/>
      <c r="F38" s="1237"/>
      <c r="G38" s="1237"/>
      <c r="H38" s="1237"/>
      <c r="I38" s="1237"/>
      <c r="J38" s="1237"/>
      <c r="K38" s="1237"/>
      <c r="L38" s="1237"/>
      <c r="M38" s="1237"/>
      <c r="N38" s="1237"/>
      <c r="O38" s="1237"/>
      <c r="P38" s="79" t="s">
        <v>86</v>
      </c>
      <c r="Q38" s="78"/>
      <c r="R38" s="78"/>
      <c r="S38" s="78"/>
      <c r="T38" s="79" t="s">
        <v>91</v>
      </c>
      <c r="U38" s="1237"/>
    </row>
    <row r="39" customFormat="false" ht="14.25" hidden="false" customHeight="false" outlineLevel="0" collapsed="false">
      <c r="A39" s="1237"/>
      <c r="B39" s="1237"/>
      <c r="C39" s="1237"/>
      <c r="D39" s="1237"/>
      <c r="E39" s="1237"/>
      <c r="F39" s="1237"/>
      <c r="G39" s="1237"/>
      <c r="H39" s="1237"/>
      <c r="I39" s="1237"/>
      <c r="J39" s="1237"/>
      <c r="K39" s="1237"/>
      <c r="L39" s="1237"/>
      <c r="M39" s="1237"/>
      <c r="N39" s="1237"/>
      <c r="O39" s="1237"/>
      <c r="P39" s="79" t="s">
        <v>87</v>
      </c>
      <c r="Q39" s="78"/>
      <c r="R39" s="78"/>
      <c r="S39" s="78"/>
      <c r="T39" s="79"/>
      <c r="U39" s="1237"/>
    </row>
    <row r="40" customFormat="false" ht="14.25" hidden="false" customHeight="false" outlineLevel="0" collapsed="false"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P44" s="78"/>
      <c r="Q44" s="78"/>
      <c r="R44" s="78"/>
      <c r="S44" s="78"/>
      <c r="T44" s="78"/>
    </row>
    <row r="45" customFormat="false" ht="14.25" hidden="false" customHeight="false" outlineLevel="0" collapsed="false">
      <c r="P45" s="78"/>
      <c r="Q45" s="78"/>
      <c r="R45" s="78"/>
      <c r="S45" s="78"/>
      <c r="T45" s="78"/>
    </row>
    <row r="46" customFormat="false" ht="14.25" hidden="false" customHeight="false" outlineLevel="0" collapsed="false">
      <c r="Q46" s="78"/>
      <c r="R46" s="78"/>
      <c r="S46" s="78"/>
      <c r="T46" s="78"/>
    </row>
    <row r="47" customFormat="false" ht="14.25" hidden="false" customHeight="false" outlineLevel="0" collapsed="false">
      <c r="Q47" s="78"/>
      <c r="R47" s="78"/>
      <c r="S47" s="78"/>
      <c r="T47" s="78"/>
    </row>
    <row r="48" customFormat="false" ht="14.25" hidden="false" customHeight="false" outlineLevel="0" collapsed="false">
      <c r="S48" s="78"/>
    </row>
    <row r="49" customFormat="false" ht="14.25" hidden="false" customHeight="false" outlineLevel="0" collapsed="false">
      <c r="S49" s="78"/>
    </row>
  </sheetData>
  <sheetProtection algorithmName="SHA-512" hashValue="ajLMhgPCVUadQNSt8mx/mXRNpkzsctzpZeQfRz25xlPZYaMfbmxNikCL8EFq2Z+IuKnyI2rquY2w2WIjEDLjcw==" saltValue="lLNw+Md5P5gvmpo3RzDyNA==" spinCount="100000" sheet="true" objects="true" scenarios="true"/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20.62"/>
    <col collapsed="false" customWidth="true" hidden="false" outlineLevel="0" max="7" min="4" style="1" width="18.38"/>
    <col collapsed="false" customWidth="true" hidden="false" outlineLevel="0" max="8" min="8" style="1" width="3.62"/>
    <col collapsed="false" customWidth="true" hidden="false" outlineLevel="0" max="9" min="9" style="1" width="13.62"/>
    <col collapsed="false" customWidth="true" hidden="false" outlineLevel="0" max="11" min="10" style="1" width="3.62"/>
    <col collapsed="false" customWidth="true" hidden="true" outlineLevel="0" max="15" min="12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239"/>
      <c r="B1" s="240"/>
      <c r="C1" s="240"/>
      <c r="D1" s="240"/>
      <c r="E1" s="240"/>
      <c r="F1" s="240"/>
      <c r="G1" s="240"/>
      <c r="H1" s="241"/>
      <c r="I1" s="240"/>
      <c r="J1" s="240"/>
      <c r="K1" s="240"/>
      <c r="L1" s="240"/>
      <c r="M1" s="240"/>
      <c r="N1" s="240"/>
      <c r="O1" s="240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240"/>
      <c r="B2" s="242"/>
      <c r="C2" s="81" t="str">
        <f aca="false">Contents!B59</f>
        <v>Version: AS L 6 LARGE locked LOCAL</v>
      </c>
      <c r="D2" s="243"/>
      <c r="E2" s="243"/>
      <c r="F2" s="243"/>
      <c r="G2" s="242"/>
      <c r="H2" s="242"/>
      <c r="I2" s="242"/>
      <c r="J2" s="242"/>
      <c r="K2" s="240"/>
      <c r="L2" s="240"/>
      <c r="M2" s="240"/>
      <c r="N2" s="240"/>
      <c r="O2" s="24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244"/>
      <c r="B3" s="245"/>
      <c r="C3" s="246" t="str">
        <f aca="false">Contents!$E$3</f>
        <v>THE SOCIETY FOR CREATIVE ANACHRONISM, INC.</v>
      </c>
      <c r="D3" s="246"/>
      <c r="E3" s="246"/>
      <c r="F3" s="246"/>
      <c r="G3" s="246"/>
      <c r="H3" s="246"/>
      <c r="I3" s="246"/>
      <c r="J3" s="245"/>
      <c r="K3" s="244"/>
      <c r="L3" s="244"/>
      <c r="M3" s="244"/>
      <c r="N3" s="244"/>
      <c r="O3" s="24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240"/>
      <c r="B4" s="245"/>
      <c r="C4" s="246" t="str">
        <f aca="false">Contents!$E$4</f>
        <v>FINANCIAL REPORT</v>
      </c>
      <c r="D4" s="246"/>
      <c r="E4" s="246"/>
      <c r="F4" s="246"/>
      <c r="G4" s="246"/>
      <c r="H4" s="246"/>
      <c r="I4" s="246"/>
      <c r="J4" s="245"/>
      <c r="K4" s="240"/>
      <c r="L4" s="240"/>
      <c r="M4" s="240"/>
      <c r="N4" s="240"/>
      <c r="O4" s="24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240"/>
      <c r="B5" s="242"/>
      <c r="C5" s="247"/>
      <c r="D5" s="247"/>
      <c r="E5" s="247"/>
      <c r="F5" s="247"/>
      <c r="G5" s="247"/>
      <c r="H5" s="247"/>
      <c r="I5" s="247"/>
      <c r="J5" s="242"/>
      <c r="K5" s="240"/>
      <c r="L5" s="240"/>
      <c r="M5" s="240"/>
      <c r="N5" s="240"/>
      <c r="O5" s="24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240"/>
      <c r="B6" s="242"/>
      <c r="C6" s="248" t="str">
        <f aca="false">Contents!B58</f>
        <v>Branch:   SCA, Inc.- Middle Kingdom                                               Period:  1/01/2025             to     12/31/2025            .</v>
      </c>
      <c r="D6" s="248"/>
      <c r="E6" s="248"/>
      <c r="F6" s="248"/>
      <c r="G6" s="248"/>
      <c r="H6" s="248"/>
      <c r="I6" s="248"/>
      <c r="J6" s="242"/>
      <c r="K6" s="240"/>
      <c r="L6" s="240"/>
      <c r="M6" s="240"/>
      <c r="N6" s="240"/>
      <c r="O6" s="240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240"/>
      <c r="B7" s="242"/>
      <c r="C7" s="247"/>
      <c r="D7" s="247"/>
      <c r="E7" s="247"/>
      <c r="F7" s="247"/>
      <c r="G7" s="247"/>
      <c r="H7" s="247"/>
      <c r="I7" s="247"/>
      <c r="J7" s="242"/>
      <c r="K7" s="240"/>
      <c r="L7" s="240"/>
      <c r="M7" s="240"/>
      <c r="N7" s="240"/>
      <c r="O7" s="24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240"/>
      <c r="B8" s="242"/>
      <c r="C8" s="249" t="s">
        <v>254</v>
      </c>
      <c r="D8" s="249"/>
      <c r="E8" s="249"/>
      <c r="F8" s="249"/>
      <c r="G8" s="249"/>
      <c r="H8" s="249"/>
      <c r="I8" s="249"/>
      <c r="J8" s="242"/>
      <c r="K8" s="240"/>
      <c r="L8" s="240"/>
      <c r="M8" s="240"/>
      <c r="N8" s="240"/>
      <c r="O8" s="240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240"/>
      <c r="B9" s="242"/>
      <c r="C9" s="242"/>
      <c r="D9" s="242"/>
      <c r="E9" s="242"/>
      <c r="F9" s="242"/>
      <c r="G9" s="242"/>
      <c r="H9" s="247"/>
      <c r="I9" s="242"/>
      <c r="J9" s="242"/>
      <c r="K9" s="240"/>
      <c r="L9" s="240"/>
      <c r="M9" s="240"/>
      <c r="N9" s="240"/>
      <c r="O9" s="24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4.25" hidden="false" customHeight="false" outlineLevel="0" collapsed="false">
      <c r="A10" s="240"/>
      <c r="B10" s="242"/>
      <c r="C10" s="225" t="s">
        <v>893</v>
      </c>
      <c r="D10" s="113"/>
      <c r="E10" s="113"/>
      <c r="F10" s="113"/>
      <c r="G10" s="113"/>
      <c r="H10" s="247"/>
      <c r="I10" s="113"/>
      <c r="J10" s="113"/>
      <c r="K10" s="240"/>
      <c r="L10" s="240"/>
      <c r="M10" s="240"/>
      <c r="N10" s="240"/>
      <c r="O10" s="24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false" outlineLevel="0" collapsed="false">
      <c r="A11" s="240"/>
      <c r="B11" s="242"/>
      <c r="C11" s="225" t="s">
        <v>894</v>
      </c>
      <c r="D11" s="113"/>
      <c r="E11" s="113"/>
      <c r="F11" s="113"/>
      <c r="G11" s="113"/>
      <c r="H11" s="247"/>
      <c r="I11" s="113"/>
      <c r="J11" s="113"/>
      <c r="K11" s="240"/>
      <c r="L11" s="240"/>
      <c r="M11" s="240"/>
      <c r="N11" s="240"/>
      <c r="O11" s="24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false" outlineLevel="0" collapsed="false">
      <c r="A12" s="240"/>
      <c r="B12" s="242"/>
      <c r="C12" s="225" t="s">
        <v>257</v>
      </c>
      <c r="D12" s="113"/>
      <c r="E12" s="113"/>
      <c r="F12" s="113"/>
      <c r="G12" s="113"/>
      <c r="H12" s="247"/>
      <c r="I12" s="113"/>
      <c r="J12" s="113"/>
      <c r="K12" s="240"/>
      <c r="L12" s="240"/>
      <c r="M12" s="240"/>
      <c r="N12" s="240"/>
      <c r="O12" s="240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false" outlineLevel="0" collapsed="false">
      <c r="A13" s="240"/>
      <c r="B13" s="242"/>
      <c r="C13" s="252" t="s">
        <v>258</v>
      </c>
      <c r="D13" s="253"/>
      <c r="E13" s="253"/>
      <c r="F13" s="253"/>
      <c r="G13" s="253"/>
      <c r="H13" s="254"/>
      <c r="I13" s="255"/>
      <c r="J13" s="242"/>
      <c r="K13" s="240"/>
      <c r="L13" s="240"/>
      <c r="M13" s="240"/>
      <c r="N13" s="240"/>
      <c r="O13" s="24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false" outlineLevel="0" collapsed="false">
      <c r="A14" s="240"/>
      <c r="B14" s="242"/>
      <c r="C14" s="256" t="s">
        <v>260</v>
      </c>
      <c r="D14" s="257"/>
      <c r="E14" s="257"/>
      <c r="F14" s="257"/>
      <c r="G14" s="257"/>
      <c r="H14" s="258"/>
      <c r="I14" s="259"/>
      <c r="J14" s="242"/>
      <c r="K14" s="240"/>
      <c r="L14" s="240"/>
      <c r="M14" s="240"/>
      <c r="N14" s="240"/>
      <c r="O14" s="24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240"/>
      <c r="B15" s="242"/>
      <c r="C15" s="256" t="s">
        <v>262</v>
      </c>
      <c r="D15" s="260" t="s">
        <v>203</v>
      </c>
      <c r="E15" s="260" t="s">
        <v>203</v>
      </c>
      <c r="F15" s="260" t="s">
        <v>203</v>
      </c>
      <c r="G15" s="260" t="s">
        <v>203</v>
      </c>
      <c r="H15" s="258"/>
      <c r="I15" s="259"/>
      <c r="J15" s="242"/>
      <c r="K15" s="240"/>
      <c r="L15" s="240"/>
      <c r="M15" s="240"/>
      <c r="N15" s="240"/>
      <c r="O15" s="24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false" outlineLevel="0" collapsed="false">
      <c r="A16" s="240"/>
      <c r="B16" s="242"/>
      <c r="C16" s="261" t="s">
        <v>263</v>
      </c>
      <c r="D16" s="262"/>
      <c r="E16" s="262"/>
      <c r="F16" s="262"/>
      <c r="G16" s="262"/>
      <c r="H16" s="258"/>
      <c r="I16" s="259"/>
      <c r="J16" s="242"/>
      <c r="K16" s="240"/>
      <c r="L16" s="240"/>
      <c r="M16" s="240"/>
      <c r="N16" s="240"/>
      <c r="O16" s="24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A17" s="240"/>
      <c r="B17" s="242"/>
      <c r="C17" s="263" t="s">
        <v>265</v>
      </c>
      <c r="D17" s="262"/>
      <c r="E17" s="262"/>
      <c r="F17" s="262"/>
      <c r="G17" s="262"/>
      <c r="H17" s="258" t="s">
        <v>266</v>
      </c>
      <c r="I17" s="259"/>
      <c r="J17" s="242"/>
      <c r="K17" s="240"/>
      <c r="L17" s="240"/>
      <c r="M17" s="240"/>
      <c r="N17" s="240"/>
      <c r="O17" s="24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A18" s="240"/>
      <c r="B18" s="242"/>
      <c r="C18" s="264" t="s">
        <v>267</v>
      </c>
      <c r="D18" s="265"/>
      <c r="E18" s="265"/>
      <c r="F18" s="265"/>
      <c r="G18" s="265"/>
      <c r="H18" s="258" t="s">
        <v>266</v>
      </c>
      <c r="I18" s="259"/>
      <c r="J18" s="242"/>
      <c r="K18" s="240"/>
      <c r="L18" s="240"/>
      <c r="M18" s="240"/>
      <c r="N18" s="240"/>
      <c r="O18" s="240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23.9" hidden="false" customHeight="false" outlineLevel="0" collapsed="false">
      <c r="A19" s="240"/>
      <c r="B19" s="242"/>
      <c r="C19" s="266" t="s">
        <v>268</v>
      </c>
      <c r="D19" s="267"/>
      <c r="E19" s="267"/>
      <c r="F19" s="267"/>
      <c r="G19" s="267"/>
      <c r="H19" s="268" t="s">
        <v>269</v>
      </c>
      <c r="I19" s="269" t="str">
        <f aca="false">Contents!$C$14</f>
        <v>USD $</v>
      </c>
      <c r="J19" s="242"/>
      <c r="K19" s="240"/>
      <c r="L19" s="240"/>
      <c r="M19" s="240"/>
      <c r="N19" s="240"/>
      <c r="O19" s="240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23.9" hidden="false" customHeight="false" outlineLevel="0" collapsed="false">
      <c r="A20" s="240"/>
      <c r="B20" s="242"/>
      <c r="C20" s="270" t="s">
        <v>270</v>
      </c>
      <c r="D20" s="271"/>
      <c r="E20" s="271"/>
      <c r="F20" s="271"/>
      <c r="G20" s="271"/>
      <c r="H20" s="272" t="s">
        <v>271</v>
      </c>
      <c r="I20" s="269"/>
      <c r="J20" s="242"/>
      <c r="K20" s="240"/>
      <c r="L20" s="240"/>
      <c r="M20" s="240"/>
      <c r="N20" s="240"/>
      <c r="O20" s="240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23.9" hidden="false" customHeight="false" outlineLevel="0" collapsed="false">
      <c r="A21" s="240"/>
      <c r="B21" s="242"/>
      <c r="C21" s="273" t="s">
        <v>272</v>
      </c>
      <c r="D21" s="274"/>
      <c r="E21" s="274"/>
      <c r="F21" s="274"/>
      <c r="G21" s="274"/>
      <c r="H21" s="275" t="s">
        <v>273</v>
      </c>
      <c r="I21" s="269"/>
      <c r="J21" s="242"/>
      <c r="K21" s="240"/>
      <c r="L21" s="240"/>
      <c r="M21" s="240"/>
      <c r="N21" s="240"/>
      <c r="O21" s="240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35" hidden="false" customHeight="false" outlineLevel="0" collapsed="false">
      <c r="A22" s="240"/>
      <c r="B22" s="242"/>
      <c r="C22" s="276" t="s">
        <v>274</v>
      </c>
      <c r="D22" s="277" t="n">
        <f aca="false">IF(AND(D$17&lt;&gt;"YES",D$18&lt;&gt;"",D$19&gt;0),D$19+D$20-D$21,0)</f>
        <v>0</v>
      </c>
      <c r="E22" s="277" t="n">
        <f aca="false">IF(AND(E$17&lt;&gt;"YES",E$18&lt;&gt;"",E$19&gt;0),E$19+E$20-E$21,0)</f>
        <v>0</v>
      </c>
      <c r="F22" s="277" t="n">
        <f aca="false">IF(AND(F$17&lt;&gt;"YES",F$18&lt;&gt;"",F$19&gt;0),F$19+F$20-F$21,0)</f>
        <v>0</v>
      </c>
      <c r="G22" s="277" t="n">
        <f aca="false">IF(AND(G$17&lt;&gt;"YES",G$18&lt;&gt;"",G$19&gt;0),G$19+G$20-G$21,0)</f>
        <v>0</v>
      </c>
      <c r="H22" s="278" t="s">
        <v>275</v>
      </c>
      <c r="I22" s="279" t="n">
        <f aca="false">IF(D22=D25,D22,0)+IF(E22=E25,E22,0)+IF(F22=F25,F22,0)+IF(G22=G25,G22,0)</f>
        <v>0</v>
      </c>
      <c r="J22" s="242"/>
      <c r="K22" s="240"/>
      <c r="L22" s="240"/>
      <c r="M22" s="240"/>
      <c r="N22" s="240"/>
      <c r="O22" s="240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35" hidden="false" customHeight="false" outlineLevel="0" collapsed="false">
      <c r="A23" s="240"/>
      <c r="B23" s="242"/>
      <c r="C23" s="280" t="s">
        <v>276</v>
      </c>
      <c r="D23" s="281" t="n">
        <f aca="false">IF(AND(D$17="YES",D$18&lt;&gt;"",D$19&gt;0),D$19+D$20-D$21,0)</f>
        <v>0</v>
      </c>
      <c r="E23" s="281" t="n">
        <f aca="false">IF(AND(E$17="YES",E$18&lt;&gt;"",E$19&gt;0),E$19+E$20-E$21,0)</f>
        <v>0</v>
      </c>
      <c r="F23" s="281" t="n">
        <f aca="false">IF(AND(F$17="YES",F$18&lt;&gt;"",F$19&gt;0),F$19+F$20-F$21,0)</f>
        <v>0</v>
      </c>
      <c r="G23" s="281" t="n">
        <f aca="false">IF(AND(G$17="YES",G$18&lt;&gt;"",G$19&gt;0),G$19+G$20-G$21,0)</f>
        <v>0</v>
      </c>
      <c r="H23" s="282" t="s">
        <v>277</v>
      </c>
      <c r="I23" s="283" t="n">
        <f aca="false">IF(D23=D25,D23,0)+IF(E23=E25,E23,0)+IF(F23=F25,F23,0)+IF(G23=G25,G23,0)</f>
        <v>0</v>
      </c>
      <c r="J23" s="242"/>
      <c r="K23" s="240"/>
      <c r="L23" s="240"/>
      <c r="M23" s="240"/>
      <c r="N23" s="240"/>
      <c r="O23" s="240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4.25" hidden="false" customHeight="false" outlineLevel="0" collapsed="false">
      <c r="A24" s="240"/>
      <c r="B24" s="242"/>
      <c r="C24" s="284"/>
      <c r="D24" s="285" t="s">
        <v>278</v>
      </c>
      <c r="E24" s="285"/>
      <c r="F24" s="285"/>
      <c r="G24" s="285"/>
      <c r="H24" s="286"/>
      <c r="I24" s="286"/>
      <c r="J24" s="242"/>
      <c r="K24" s="240"/>
      <c r="L24" s="240"/>
      <c r="M24" s="240"/>
      <c r="N24" s="240"/>
      <c r="O24" s="240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23.9" hidden="false" customHeight="false" outlineLevel="0" collapsed="false">
      <c r="A25" s="240"/>
      <c r="B25" s="242"/>
      <c r="C25" s="276" t="s">
        <v>279</v>
      </c>
      <c r="D25" s="287"/>
      <c r="E25" s="287"/>
      <c r="F25" s="287"/>
      <c r="G25" s="287"/>
      <c r="H25" s="286"/>
      <c r="I25" s="286"/>
      <c r="J25" s="242"/>
      <c r="K25" s="240"/>
      <c r="L25" s="240"/>
      <c r="M25" s="240"/>
      <c r="N25" s="240"/>
      <c r="O25" s="240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4.25" hidden="false" customHeight="false" outlineLevel="0" collapsed="false">
      <c r="A26" s="240"/>
      <c r="B26" s="242"/>
      <c r="C26" s="288"/>
      <c r="D26" s="285" t="s">
        <v>280</v>
      </c>
      <c r="E26" s="285"/>
      <c r="F26" s="285"/>
      <c r="G26" s="285"/>
      <c r="H26" s="286"/>
      <c r="I26" s="286"/>
      <c r="J26" s="242"/>
      <c r="K26" s="240"/>
      <c r="L26" s="240"/>
      <c r="M26" s="240"/>
      <c r="N26" s="240"/>
      <c r="O26" s="240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false" outlineLevel="0" collapsed="false">
      <c r="A27" s="240"/>
      <c r="B27" s="242"/>
      <c r="C27" s="289" t="s">
        <v>281</v>
      </c>
      <c r="D27" s="290"/>
      <c r="E27" s="290"/>
      <c r="F27" s="290"/>
      <c r="G27" s="290"/>
      <c r="H27" s="291" t="n">
        <v>1</v>
      </c>
      <c r="I27" s="292"/>
      <c r="J27" s="242"/>
      <c r="K27" s="240"/>
      <c r="L27" s="240"/>
      <c r="M27" s="240"/>
      <c r="N27" s="240"/>
      <c r="O27" s="240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A28" s="240"/>
      <c r="B28" s="242"/>
      <c r="C28" s="293" t="s">
        <v>282</v>
      </c>
      <c r="D28" s="294"/>
      <c r="E28" s="294"/>
      <c r="F28" s="294"/>
      <c r="G28" s="294"/>
      <c r="H28" s="291"/>
      <c r="I28" s="292"/>
      <c r="J28" s="242"/>
      <c r="K28" s="240"/>
      <c r="L28" s="240"/>
      <c r="M28" s="240"/>
      <c r="N28" s="240"/>
      <c r="O28" s="240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A29" s="240"/>
      <c r="B29" s="242"/>
      <c r="C29" s="295" t="s">
        <v>283</v>
      </c>
      <c r="D29" s="296"/>
      <c r="E29" s="296"/>
      <c r="F29" s="296"/>
      <c r="G29" s="296"/>
      <c r="H29" s="291"/>
      <c r="I29" s="292"/>
      <c r="J29" s="242"/>
      <c r="K29" s="240"/>
      <c r="L29" s="240"/>
      <c r="M29" s="240"/>
      <c r="N29" s="240"/>
      <c r="O29" s="240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4.25" hidden="false" customHeight="false" outlineLevel="0" collapsed="false">
      <c r="A30" s="240"/>
      <c r="B30" s="242"/>
      <c r="C30" s="289" t="s">
        <v>281</v>
      </c>
      <c r="D30" s="290"/>
      <c r="E30" s="290"/>
      <c r="F30" s="290"/>
      <c r="G30" s="290"/>
      <c r="H30" s="291" t="n">
        <v>2</v>
      </c>
      <c r="I30" s="292"/>
      <c r="J30" s="242"/>
      <c r="K30" s="240"/>
      <c r="L30" s="240"/>
      <c r="M30" s="240"/>
      <c r="N30" s="240"/>
      <c r="O30" s="240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14.25" hidden="false" customHeight="false" outlineLevel="0" collapsed="false">
      <c r="A31" s="240"/>
      <c r="B31" s="242"/>
      <c r="C31" s="293" t="s">
        <v>282</v>
      </c>
      <c r="D31" s="294"/>
      <c r="E31" s="294"/>
      <c r="F31" s="294"/>
      <c r="G31" s="294"/>
      <c r="H31" s="291"/>
      <c r="I31" s="292"/>
      <c r="J31" s="242"/>
      <c r="K31" s="240"/>
      <c r="L31" s="240"/>
      <c r="M31" s="240"/>
      <c r="N31" s="240"/>
      <c r="O31" s="240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A32" s="240"/>
      <c r="B32" s="242"/>
      <c r="C32" s="295" t="s">
        <v>283</v>
      </c>
      <c r="D32" s="296"/>
      <c r="E32" s="296"/>
      <c r="F32" s="296"/>
      <c r="G32" s="296"/>
      <c r="H32" s="291"/>
      <c r="I32" s="292"/>
      <c r="J32" s="242"/>
      <c r="K32" s="240"/>
      <c r="L32" s="240"/>
      <c r="M32" s="240"/>
      <c r="N32" s="240"/>
      <c r="O32" s="240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A33" s="240"/>
      <c r="B33" s="242"/>
      <c r="C33" s="289" t="s">
        <v>281</v>
      </c>
      <c r="D33" s="290"/>
      <c r="E33" s="290"/>
      <c r="F33" s="290"/>
      <c r="G33" s="290"/>
      <c r="H33" s="291" t="n">
        <v>3</v>
      </c>
      <c r="I33" s="292"/>
      <c r="J33" s="242"/>
      <c r="K33" s="240"/>
      <c r="L33" s="240"/>
      <c r="M33" s="240"/>
      <c r="N33" s="240"/>
      <c r="O33" s="240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A34" s="240"/>
      <c r="B34" s="242"/>
      <c r="C34" s="293" t="s">
        <v>282</v>
      </c>
      <c r="D34" s="294"/>
      <c r="E34" s="294"/>
      <c r="F34" s="294"/>
      <c r="G34" s="294"/>
      <c r="H34" s="291"/>
      <c r="I34" s="292"/>
      <c r="J34" s="242"/>
      <c r="K34" s="240"/>
      <c r="L34" s="240"/>
      <c r="M34" s="240"/>
      <c r="N34" s="240"/>
      <c r="O34" s="240"/>
      <c r="P34" s="79" t="s">
        <v>79</v>
      </c>
      <c r="Q34" s="78"/>
      <c r="R34" s="78"/>
      <c r="S34" s="78"/>
      <c r="T34" s="79" t="s">
        <v>87</v>
      </c>
    </row>
    <row r="35" customFormat="false" ht="14.25" hidden="false" customHeight="false" outlineLevel="0" collapsed="false">
      <c r="A35" s="240"/>
      <c r="B35" s="242"/>
      <c r="C35" s="295" t="s">
        <v>283</v>
      </c>
      <c r="D35" s="296"/>
      <c r="E35" s="296"/>
      <c r="F35" s="296"/>
      <c r="G35" s="296"/>
      <c r="H35" s="291"/>
      <c r="I35" s="292"/>
      <c r="J35" s="242"/>
      <c r="K35" s="240"/>
      <c r="L35" s="240"/>
      <c r="M35" s="240"/>
      <c r="N35" s="240"/>
      <c r="O35" s="240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A36" s="240"/>
      <c r="B36" s="242"/>
      <c r="C36" s="289" t="s">
        <v>281</v>
      </c>
      <c r="D36" s="290"/>
      <c r="E36" s="290"/>
      <c r="F36" s="290"/>
      <c r="G36" s="290"/>
      <c r="H36" s="291" t="n">
        <v>4</v>
      </c>
      <c r="I36" s="292"/>
      <c r="J36" s="242"/>
      <c r="K36" s="240"/>
      <c r="L36" s="240"/>
      <c r="M36" s="240"/>
      <c r="N36" s="240"/>
      <c r="O36" s="240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A37" s="240"/>
      <c r="B37" s="242"/>
      <c r="C37" s="293" t="s">
        <v>282</v>
      </c>
      <c r="D37" s="294"/>
      <c r="E37" s="294"/>
      <c r="F37" s="294"/>
      <c r="G37" s="294"/>
      <c r="H37" s="291"/>
      <c r="I37" s="292"/>
      <c r="J37" s="242"/>
      <c r="K37" s="240"/>
      <c r="L37" s="240"/>
      <c r="M37" s="240"/>
      <c r="N37" s="240"/>
      <c r="O37" s="240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A38" s="240"/>
      <c r="B38" s="242"/>
      <c r="C38" s="295" t="s">
        <v>283</v>
      </c>
      <c r="D38" s="296"/>
      <c r="E38" s="296"/>
      <c r="F38" s="296"/>
      <c r="G38" s="296"/>
      <c r="H38" s="291"/>
      <c r="I38" s="292"/>
      <c r="J38" s="242"/>
      <c r="K38" s="240"/>
      <c r="L38" s="240"/>
      <c r="M38" s="240"/>
      <c r="N38" s="240"/>
      <c r="O38" s="240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A39" s="240"/>
      <c r="B39" s="242"/>
      <c r="C39" s="289" t="s">
        <v>281</v>
      </c>
      <c r="D39" s="290"/>
      <c r="E39" s="290"/>
      <c r="F39" s="290"/>
      <c r="G39" s="290"/>
      <c r="H39" s="291" t="n">
        <v>5</v>
      </c>
      <c r="I39" s="292"/>
      <c r="J39" s="242"/>
      <c r="K39" s="240"/>
      <c r="L39" s="240"/>
      <c r="M39" s="240"/>
      <c r="N39" s="240"/>
      <c r="O39" s="302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A40" s="240"/>
      <c r="B40" s="242"/>
      <c r="C40" s="293" t="s">
        <v>282</v>
      </c>
      <c r="D40" s="294"/>
      <c r="E40" s="294"/>
      <c r="F40" s="294"/>
      <c r="G40" s="294"/>
      <c r="H40" s="291"/>
      <c r="I40" s="292"/>
      <c r="J40" s="242"/>
      <c r="K40" s="240"/>
      <c r="L40" s="240"/>
      <c r="M40" s="240"/>
      <c r="N40" s="240"/>
      <c r="O40" s="302"/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A41" s="240"/>
      <c r="B41" s="242"/>
      <c r="C41" s="295" t="s">
        <v>283</v>
      </c>
      <c r="D41" s="296"/>
      <c r="E41" s="296"/>
      <c r="F41" s="296"/>
      <c r="G41" s="296"/>
      <c r="H41" s="291"/>
      <c r="I41" s="292"/>
      <c r="J41" s="242"/>
      <c r="K41" s="240"/>
      <c r="L41" s="240"/>
      <c r="M41" s="240"/>
      <c r="N41" s="240"/>
      <c r="O41" s="302"/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A42" s="240"/>
      <c r="B42" s="242"/>
      <c r="C42" s="289" t="s">
        <v>281</v>
      </c>
      <c r="D42" s="290"/>
      <c r="E42" s="290"/>
      <c r="F42" s="290"/>
      <c r="G42" s="290"/>
      <c r="H42" s="297" t="n">
        <v>6</v>
      </c>
      <c r="I42" s="292"/>
      <c r="J42" s="242"/>
      <c r="K42" s="240"/>
      <c r="L42" s="240"/>
      <c r="M42" s="240"/>
      <c r="N42" s="240"/>
      <c r="O42" s="302"/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A43" s="240"/>
      <c r="B43" s="242"/>
      <c r="C43" s="293" t="s">
        <v>282</v>
      </c>
      <c r="D43" s="294"/>
      <c r="E43" s="294"/>
      <c r="F43" s="294"/>
      <c r="G43" s="294"/>
      <c r="H43" s="297"/>
      <c r="I43" s="292"/>
      <c r="J43" s="242"/>
      <c r="K43" s="240"/>
      <c r="L43" s="240"/>
      <c r="M43" s="240"/>
      <c r="N43" s="240"/>
      <c r="O43" s="302"/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A44" s="240"/>
      <c r="B44" s="242"/>
      <c r="C44" s="298" t="s">
        <v>283</v>
      </c>
      <c r="D44" s="299"/>
      <c r="E44" s="299"/>
      <c r="F44" s="299"/>
      <c r="G44" s="299"/>
      <c r="H44" s="297"/>
      <c r="I44" s="292"/>
      <c r="J44" s="242"/>
      <c r="K44" s="240"/>
      <c r="L44" s="240"/>
      <c r="M44" s="240"/>
      <c r="N44" s="240"/>
      <c r="O44" s="302"/>
      <c r="P44" s="78"/>
      <c r="Q44" s="78"/>
      <c r="R44" s="78"/>
      <c r="S44" s="78"/>
      <c r="T44" s="78"/>
    </row>
    <row r="45" customFormat="false" ht="14.25" hidden="false" customHeight="false" outlineLevel="0" collapsed="false">
      <c r="A45" s="240"/>
      <c r="B45" s="242"/>
      <c r="C45" s="300" t="s">
        <v>284</v>
      </c>
      <c r="D45" s="300"/>
      <c r="E45" s="300"/>
      <c r="F45" s="300"/>
      <c r="G45" s="300"/>
      <c r="H45" s="300"/>
      <c r="I45" s="300"/>
      <c r="J45" s="242"/>
      <c r="K45" s="240"/>
      <c r="L45" s="240"/>
      <c r="M45" s="240"/>
      <c r="N45" s="240"/>
      <c r="O45" s="302"/>
      <c r="P45" s="78"/>
      <c r="Q45" s="78"/>
      <c r="R45" s="78"/>
      <c r="S45" s="78"/>
      <c r="T45" s="78"/>
    </row>
    <row r="46" customFormat="false" ht="14.25" hidden="false" customHeight="false" outlineLevel="0" collapsed="false">
      <c r="A46" s="240"/>
      <c r="B46" s="242"/>
      <c r="C46" s="301" t="s">
        <v>895</v>
      </c>
      <c r="D46" s="301"/>
      <c r="E46" s="301"/>
      <c r="F46" s="301"/>
      <c r="G46" s="301"/>
      <c r="H46" s="301"/>
      <c r="I46" s="301"/>
      <c r="J46" s="242"/>
      <c r="K46" s="240"/>
      <c r="L46" s="240"/>
      <c r="M46" s="240"/>
      <c r="N46" s="240"/>
      <c r="O46" s="302"/>
      <c r="Q46" s="78"/>
      <c r="R46" s="78"/>
      <c r="S46" s="78"/>
      <c r="T46" s="78"/>
    </row>
    <row r="47" customFormat="false" ht="14.25" hidden="false" customHeight="false" outlineLevel="0" collapsed="false">
      <c r="A47" s="240"/>
      <c r="B47" s="240"/>
      <c r="C47" s="302" t="s">
        <v>203</v>
      </c>
      <c r="D47" s="302" t="s">
        <v>201</v>
      </c>
      <c r="E47" s="302" t="s">
        <v>251</v>
      </c>
      <c r="F47" s="240"/>
      <c r="G47" s="240"/>
      <c r="H47" s="241"/>
      <c r="I47" s="240"/>
      <c r="J47" s="240"/>
      <c r="K47" s="240"/>
      <c r="L47" s="240"/>
      <c r="M47" s="240"/>
      <c r="N47" s="240"/>
      <c r="O47" s="302"/>
      <c r="Q47" s="78"/>
      <c r="R47" s="78"/>
      <c r="S47" s="78"/>
      <c r="T47" s="78"/>
    </row>
    <row r="48" customFormat="false" ht="14.25" hidden="false" customHeight="false" outlineLevel="0" collapsed="false">
      <c r="A48" s="240"/>
      <c r="B48" s="240"/>
      <c r="C48" s="302" t="s">
        <v>252</v>
      </c>
      <c r="D48" s="302" t="s">
        <v>264</v>
      </c>
      <c r="E48" s="302" t="s">
        <v>221</v>
      </c>
      <c r="F48" s="240"/>
      <c r="G48" s="240"/>
      <c r="H48" s="241"/>
      <c r="I48" s="240"/>
      <c r="J48" s="240"/>
      <c r="K48" s="240"/>
      <c r="L48" s="240"/>
      <c r="M48" s="240"/>
      <c r="N48" s="240"/>
      <c r="O48" s="240"/>
      <c r="S48" s="78"/>
    </row>
    <row r="49" customFormat="false" ht="14.25" hidden="false" customHeight="false" outlineLevel="0" collapsed="false">
      <c r="A49" s="240"/>
      <c r="B49" s="240"/>
      <c r="C49" s="302" t="s">
        <v>253</v>
      </c>
      <c r="D49" s="302" t="s">
        <v>286</v>
      </c>
      <c r="E49" s="302"/>
      <c r="F49" s="240"/>
      <c r="G49" s="240"/>
      <c r="H49" s="241"/>
      <c r="I49" s="240"/>
      <c r="J49" s="240"/>
      <c r="K49" s="240"/>
      <c r="L49" s="240"/>
      <c r="M49" s="240"/>
      <c r="N49" s="240"/>
      <c r="O49" s="240"/>
      <c r="S49" s="78"/>
    </row>
    <row r="50" customFormat="false" ht="14.25" hidden="false" customHeight="false" outlineLevel="0" collapsed="false">
      <c r="A50" s="240"/>
      <c r="B50" s="240"/>
      <c r="C50" s="302"/>
      <c r="D50" s="302" t="s">
        <v>287</v>
      </c>
      <c r="E50" s="302"/>
      <c r="F50" s="240"/>
      <c r="G50" s="240"/>
      <c r="H50" s="241"/>
      <c r="I50" s="240"/>
      <c r="J50" s="240"/>
      <c r="K50" s="240"/>
      <c r="L50" s="240"/>
      <c r="M50" s="240"/>
      <c r="N50" s="240"/>
      <c r="O50" s="240"/>
    </row>
    <row r="51" customFormat="false" ht="14.25" hidden="false" customHeight="false" outlineLevel="0" collapsed="false">
      <c r="A51" s="240"/>
      <c r="B51" s="240"/>
      <c r="C51" s="302"/>
      <c r="D51" s="302" t="s">
        <v>253</v>
      </c>
      <c r="E51" s="302"/>
      <c r="F51" s="240"/>
      <c r="G51" s="240"/>
      <c r="H51" s="241"/>
      <c r="I51" s="240"/>
      <c r="J51" s="240"/>
      <c r="K51" s="240"/>
      <c r="L51" s="240"/>
      <c r="M51" s="240"/>
      <c r="N51" s="240"/>
      <c r="O51" s="240"/>
    </row>
    <row r="52" customFormat="false" ht="14.25" hidden="false" customHeight="false" outlineLevel="0" collapsed="false">
      <c r="A52" s="240"/>
      <c r="B52" s="240"/>
      <c r="C52" s="240"/>
      <c r="D52" s="303"/>
      <c r="E52" s="240"/>
      <c r="F52" s="240"/>
      <c r="G52" s="240"/>
      <c r="H52" s="241"/>
      <c r="I52" s="240"/>
      <c r="J52" s="240"/>
      <c r="K52" s="240"/>
      <c r="L52" s="240"/>
      <c r="M52" s="240"/>
      <c r="N52" s="240"/>
      <c r="O52" s="240"/>
    </row>
    <row r="53" customFormat="false" ht="14.25" hidden="false" customHeight="false" outlineLevel="0" collapsed="false">
      <c r="A53" s="240"/>
      <c r="B53" s="240"/>
      <c r="C53" s="240"/>
      <c r="D53" s="240"/>
      <c r="E53" s="240"/>
      <c r="F53" s="240"/>
      <c r="G53" s="240"/>
      <c r="H53" s="241"/>
      <c r="I53" s="240"/>
      <c r="J53" s="240"/>
      <c r="K53" s="240"/>
      <c r="L53" s="240"/>
      <c r="M53" s="240"/>
      <c r="N53" s="240"/>
      <c r="O53" s="240"/>
    </row>
    <row r="54" customFormat="false" ht="14.25" hidden="false" customHeight="false" outlineLevel="0" collapsed="false">
      <c r="A54" s="240"/>
      <c r="B54" s="240"/>
      <c r="C54" s="240"/>
      <c r="D54" s="240"/>
      <c r="E54" s="240"/>
      <c r="F54" s="240"/>
      <c r="G54" s="240"/>
      <c r="H54" s="241"/>
      <c r="I54" s="240"/>
      <c r="J54" s="240"/>
      <c r="K54" s="240"/>
      <c r="L54" s="240"/>
      <c r="M54" s="240"/>
      <c r="N54" s="240"/>
      <c r="O54" s="240"/>
    </row>
    <row r="55" customFormat="false" ht="14.25" hidden="false" customHeight="false" outlineLevel="0" collapsed="false">
      <c r="A55" s="240"/>
      <c r="B55" s="240"/>
      <c r="C55" s="240"/>
      <c r="D55" s="240"/>
      <c r="E55" s="240"/>
      <c r="F55" s="240"/>
      <c r="G55" s="240"/>
      <c r="H55" s="241"/>
      <c r="I55" s="240"/>
      <c r="J55" s="240"/>
      <c r="K55" s="240"/>
      <c r="L55" s="240"/>
      <c r="M55" s="240"/>
      <c r="N55" s="240"/>
      <c r="O55" s="240"/>
    </row>
    <row r="56" customFormat="false" ht="14.25" hidden="false" customHeight="false" outlineLevel="0" collapsed="false">
      <c r="A56" s="240"/>
      <c r="B56" s="240"/>
      <c r="C56" s="240"/>
      <c r="D56" s="240"/>
      <c r="E56" s="240"/>
      <c r="F56" s="240"/>
      <c r="G56" s="240"/>
      <c r="H56" s="241"/>
      <c r="I56" s="240"/>
      <c r="J56" s="240"/>
      <c r="K56" s="240"/>
      <c r="L56" s="240"/>
      <c r="M56" s="240"/>
      <c r="N56" s="240"/>
      <c r="O56" s="240"/>
    </row>
    <row r="63" customFormat="false" ht="14.25" hidden="false" customHeight="false" outlineLevel="0" collapsed="false">
      <c r="C63" s="302" t="n">
        <f aca="false">DATEVALUE(Contents!$C$64)</f>
        <v>46022</v>
      </c>
    </row>
  </sheetData>
  <sheetProtection algorithmName="SHA-512" hashValue="qBUY95tqsURdyyE6nuJRdKEIGpFQusAJ59hqZuQ6yHsKYGJaGsKgFXyZSjvzVfPQ21YFtLGi4wEuA/D8zEsfXQ==" saltValue="6y2UabXXIx1jjIqsvVsYbA==" spinCount="100000" sheet="true" objects="true" scenarios="true"/>
  <mergeCells count="17">
    <mergeCell ref="C3:I3"/>
    <mergeCell ref="C4:I4"/>
    <mergeCell ref="C6:I6"/>
    <mergeCell ref="C8:I8"/>
    <mergeCell ref="I19:I21"/>
    <mergeCell ref="D24:G24"/>
    <mergeCell ref="H24:I26"/>
    <mergeCell ref="D26:G26"/>
    <mergeCell ref="H27:H29"/>
    <mergeCell ref="I27:I44"/>
    <mergeCell ref="H30:H32"/>
    <mergeCell ref="H33:H35"/>
    <mergeCell ref="H36:H38"/>
    <mergeCell ref="H39:H41"/>
    <mergeCell ref="H42:H44"/>
    <mergeCell ref="C45:I45"/>
    <mergeCell ref="C46:I46"/>
  </mergeCells>
  <conditionalFormatting sqref="D29:G29 D32:G32 D35:G35 D44:G44 D38:G41">
    <cfRule type="expression" priority="2" aboveAverage="0" equalAverage="0" bottom="0" percent="0" rank="0" text="" dxfId="44">
      <formula>IF(OR(ISBLANK(D29),D29=0,ISBLANK($C$63)),0, IF(D29&lt;$C$63,1,0))</formula>
    </cfRule>
    <cfRule type="expression" priority="3" aboveAverage="0" equalAverage="0" bottom="0" percent="0" rank="0" text="" dxfId="45">
      <formula>IF(OR(ISBLANK(D29),ISBLANK($C$63)),0,IF(DATE(YEAR(D29),MONTH(D29)-2,DAY(D29))&lt;$C$63,1,0))</formula>
    </cfRule>
  </conditionalFormatting>
  <conditionalFormatting sqref="D22:G22">
    <cfRule type="expression" priority="4" aboveAverage="0" equalAverage="0" bottom="0" percent="0" rank="0" text="" dxfId="46">
      <formula>AND(D22=D25,D22&gt;0)</formula>
    </cfRule>
    <cfRule type="expression" priority="5" aboveAverage="0" equalAverage="0" bottom="0" percent="0" rank="0" text="" dxfId="47">
      <formula>OR(D22&lt;&gt;D25,D22&lt;=0)</formula>
    </cfRule>
  </conditionalFormatting>
  <conditionalFormatting sqref="D25:G25">
    <cfRule type="expression" priority="6" aboveAverage="0" equalAverage="0" bottom="0" percent="0" rank="0" text="" dxfId="48">
      <formula>IF(D17="YES",AND(D23=D25,D23&gt;0),AND(D22=D25,D22&gt;0))</formula>
    </cfRule>
  </conditionalFormatting>
  <dataValidations count="6">
    <dataValidation allowBlank="false" errorStyle="stop" operator="between" showDropDown="false" showErrorMessage="true" showInputMessage="true" sqref="D17:G17" type="list">
      <formula1>$E$47:$E$48</formula1>
      <formula2>0</formula2>
    </dataValidation>
    <dataValidation allowBlank="false" errorStyle="stop" operator="between" showDropDown="false" showErrorMessage="true" showInputMessage="true" sqref="D16:G16" type="list">
      <formula1>$D$47:$D$53</formula1>
      <formula2>0</formula2>
    </dataValidation>
    <dataValidation allowBlank="true" error="Enter a number greater than zero." errorStyle="stop" operator="greaterThan" showDropDown="false" showErrorMessage="true" showInputMessage="true" sqref="D15:G15" type="list">
      <formula1>$C$47:$C$49</formula1>
      <formula2>0</formula2>
    </dataValidation>
    <dataValidation allowBlank="true" error="Please enter a valid date." errorStyle="stop" operator="greaterThan" showDropDown="false" showErrorMessage="true" showInputMessage="true" sqref="D29:G29 D32:G32 D35:G35 D38:G38 D41:G41 D44:G44" type="date">
      <formula1>36526</formula1>
      <formula2>0</formula2>
    </dataValidation>
    <dataValidation allowBlank="true" error="Enter a dollar amount greater than zero." errorStyle="stop" operator="greaterThanOrEqual" showDropDown="false" showErrorMessage="true" showInputMessage="true" sqref="D19:G21 D25:G25" type="decimal">
      <formula1>0</formula1>
      <formula2>0</formula2>
    </dataValidation>
    <dataValidation allowBlank="true" error="Enter a date." errorStyle="stop" operator="greaterThan" showDropDown="false" showErrorMessage="true" showInputMessage="true" sqref="D18:G18" type="date">
      <formula1>36526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63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A2" activeCellId="0" sqref="A2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20.62"/>
    <col collapsed="false" customWidth="true" hidden="false" outlineLevel="0" max="7" min="4" style="1" width="18.38"/>
    <col collapsed="false" customWidth="true" hidden="false" outlineLevel="0" max="8" min="8" style="1" width="3.62"/>
    <col collapsed="false" customWidth="true" hidden="false" outlineLevel="0" max="9" min="9" style="1" width="13.62"/>
    <col collapsed="false" customWidth="true" hidden="false" outlineLevel="0" max="11" min="10" style="1" width="3.62"/>
    <col collapsed="false" customWidth="true" hidden="true" outlineLevel="0" max="15" min="12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239"/>
      <c r="B1" s="240"/>
      <c r="C1" s="240"/>
      <c r="D1" s="240"/>
      <c r="E1" s="240"/>
      <c r="F1" s="240"/>
      <c r="G1" s="240"/>
      <c r="H1" s="241"/>
      <c r="I1" s="240"/>
      <c r="J1" s="240"/>
      <c r="K1" s="240"/>
      <c r="L1" s="240"/>
      <c r="M1" s="240"/>
      <c r="N1" s="240"/>
      <c r="O1" s="240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240"/>
      <c r="B2" s="242"/>
      <c r="C2" s="81" t="str">
        <f aca="false">Contents!B59</f>
        <v>Version: AS L 6 LARGE locked LOCAL</v>
      </c>
      <c r="D2" s="243"/>
      <c r="E2" s="243"/>
      <c r="F2" s="243"/>
      <c r="G2" s="242"/>
      <c r="H2" s="242"/>
      <c r="I2" s="242"/>
      <c r="J2" s="242"/>
      <c r="K2" s="240"/>
      <c r="L2" s="240"/>
      <c r="M2" s="240"/>
      <c r="N2" s="240"/>
      <c r="O2" s="24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244"/>
      <c r="B3" s="245"/>
      <c r="C3" s="246" t="str">
        <f aca="false">Contents!$E$3</f>
        <v>THE SOCIETY FOR CREATIVE ANACHRONISM, INC.</v>
      </c>
      <c r="D3" s="246"/>
      <c r="E3" s="246"/>
      <c r="F3" s="246"/>
      <c r="G3" s="246"/>
      <c r="H3" s="246"/>
      <c r="I3" s="246"/>
      <c r="J3" s="245"/>
      <c r="K3" s="244"/>
      <c r="L3" s="244"/>
      <c r="M3" s="244"/>
      <c r="N3" s="244"/>
      <c r="O3" s="24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240"/>
      <c r="B4" s="245"/>
      <c r="C4" s="246" t="str">
        <f aca="false">Contents!$E$4</f>
        <v>FINANCIAL REPORT</v>
      </c>
      <c r="D4" s="246"/>
      <c r="E4" s="246"/>
      <c r="F4" s="246"/>
      <c r="G4" s="246"/>
      <c r="H4" s="246"/>
      <c r="I4" s="246"/>
      <c r="J4" s="245"/>
      <c r="K4" s="240"/>
      <c r="L4" s="240"/>
      <c r="M4" s="240"/>
      <c r="N4" s="240"/>
      <c r="O4" s="24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240"/>
      <c r="B5" s="242"/>
      <c r="C5" s="247"/>
      <c r="D5" s="247"/>
      <c r="E5" s="247"/>
      <c r="F5" s="247"/>
      <c r="G5" s="247"/>
      <c r="H5" s="247"/>
      <c r="I5" s="247"/>
      <c r="J5" s="242"/>
      <c r="K5" s="240"/>
      <c r="L5" s="240"/>
      <c r="M5" s="240"/>
      <c r="N5" s="240"/>
      <c r="O5" s="24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240"/>
      <c r="B6" s="242"/>
      <c r="C6" s="248" t="str">
        <f aca="false">Contents!B58</f>
        <v>Branch:   SCA, Inc.- Middle Kingdom                                               Period:  1/01/2025             to     12/31/2025            .</v>
      </c>
      <c r="D6" s="248"/>
      <c r="E6" s="248"/>
      <c r="F6" s="248"/>
      <c r="G6" s="248"/>
      <c r="H6" s="248"/>
      <c r="I6" s="248"/>
      <c r="J6" s="242"/>
      <c r="K6" s="240"/>
      <c r="L6" s="240"/>
      <c r="M6" s="240"/>
      <c r="N6" s="240"/>
      <c r="O6" s="240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240"/>
      <c r="B7" s="242"/>
      <c r="C7" s="247"/>
      <c r="D7" s="247"/>
      <c r="E7" s="247"/>
      <c r="F7" s="247"/>
      <c r="G7" s="247"/>
      <c r="H7" s="247"/>
      <c r="I7" s="247"/>
      <c r="J7" s="242"/>
      <c r="K7" s="240"/>
      <c r="L7" s="240"/>
      <c r="M7" s="240"/>
      <c r="N7" s="240"/>
      <c r="O7" s="24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240"/>
      <c r="B8" s="242"/>
      <c r="C8" s="249" t="s">
        <v>254</v>
      </c>
      <c r="D8" s="249"/>
      <c r="E8" s="249"/>
      <c r="F8" s="249"/>
      <c r="G8" s="249"/>
      <c r="H8" s="249"/>
      <c r="I8" s="249"/>
      <c r="J8" s="242"/>
      <c r="K8" s="240"/>
      <c r="L8" s="240"/>
      <c r="M8" s="240"/>
      <c r="N8" s="240"/>
      <c r="O8" s="240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240"/>
      <c r="B9" s="242"/>
      <c r="C9" s="242"/>
      <c r="D9" s="242"/>
      <c r="E9" s="242"/>
      <c r="F9" s="242"/>
      <c r="G9" s="242"/>
      <c r="H9" s="247"/>
      <c r="I9" s="242"/>
      <c r="J9" s="242"/>
      <c r="K9" s="240"/>
      <c r="L9" s="240"/>
      <c r="M9" s="240"/>
      <c r="N9" s="240"/>
      <c r="O9" s="24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4.25" hidden="false" customHeight="false" outlineLevel="0" collapsed="false">
      <c r="A10" s="240"/>
      <c r="B10" s="242"/>
      <c r="C10" s="225" t="s">
        <v>893</v>
      </c>
      <c r="D10" s="113"/>
      <c r="E10" s="113"/>
      <c r="F10" s="113"/>
      <c r="G10" s="113"/>
      <c r="H10" s="247"/>
      <c r="I10" s="113"/>
      <c r="J10" s="113"/>
      <c r="K10" s="240"/>
      <c r="L10" s="240"/>
      <c r="M10" s="240"/>
      <c r="N10" s="240"/>
      <c r="O10" s="24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false" outlineLevel="0" collapsed="false">
      <c r="A11" s="240"/>
      <c r="B11" s="242"/>
      <c r="C11" s="225" t="s">
        <v>894</v>
      </c>
      <c r="D11" s="113"/>
      <c r="E11" s="113"/>
      <c r="F11" s="113"/>
      <c r="G11" s="113"/>
      <c r="H11" s="247"/>
      <c r="I11" s="113"/>
      <c r="J11" s="113"/>
      <c r="K11" s="240"/>
      <c r="L11" s="240"/>
      <c r="M11" s="240"/>
      <c r="N11" s="240"/>
      <c r="O11" s="24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false" outlineLevel="0" collapsed="false">
      <c r="A12" s="240"/>
      <c r="B12" s="242"/>
      <c r="C12" s="225" t="s">
        <v>257</v>
      </c>
      <c r="D12" s="113"/>
      <c r="E12" s="113"/>
      <c r="F12" s="113"/>
      <c r="G12" s="113"/>
      <c r="H12" s="247"/>
      <c r="I12" s="113"/>
      <c r="J12" s="113"/>
      <c r="K12" s="240"/>
      <c r="L12" s="240"/>
      <c r="M12" s="240"/>
      <c r="N12" s="240"/>
      <c r="O12" s="240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false" outlineLevel="0" collapsed="false">
      <c r="A13" s="240"/>
      <c r="B13" s="242"/>
      <c r="C13" s="252" t="s">
        <v>258</v>
      </c>
      <c r="D13" s="253"/>
      <c r="E13" s="253"/>
      <c r="F13" s="253"/>
      <c r="G13" s="253"/>
      <c r="H13" s="254"/>
      <c r="I13" s="255"/>
      <c r="J13" s="242"/>
      <c r="K13" s="240"/>
      <c r="L13" s="240"/>
      <c r="M13" s="240"/>
      <c r="N13" s="240"/>
      <c r="O13" s="24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false" outlineLevel="0" collapsed="false">
      <c r="A14" s="240"/>
      <c r="B14" s="242"/>
      <c r="C14" s="256" t="s">
        <v>260</v>
      </c>
      <c r="D14" s="257"/>
      <c r="E14" s="257"/>
      <c r="F14" s="257"/>
      <c r="G14" s="257"/>
      <c r="H14" s="258"/>
      <c r="I14" s="259"/>
      <c r="J14" s="242"/>
      <c r="K14" s="240"/>
      <c r="L14" s="240"/>
      <c r="M14" s="240"/>
      <c r="N14" s="240"/>
      <c r="O14" s="24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240"/>
      <c r="B15" s="242"/>
      <c r="C15" s="256" t="s">
        <v>262</v>
      </c>
      <c r="D15" s="260" t="s">
        <v>203</v>
      </c>
      <c r="E15" s="260" t="s">
        <v>203</v>
      </c>
      <c r="F15" s="260" t="s">
        <v>203</v>
      </c>
      <c r="G15" s="260" t="s">
        <v>203</v>
      </c>
      <c r="H15" s="258"/>
      <c r="I15" s="259"/>
      <c r="J15" s="242"/>
      <c r="K15" s="240"/>
      <c r="L15" s="240"/>
      <c r="M15" s="240"/>
      <c r="N15" s="240"/>
      <c r="O15" s="24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false" outlineLevel="0" collapsed="false">
      <c r="A16" s="240"/>
      <c r="B16" s="242"/>
      <c r="C16" s="261" t="s">
        <v>263</v>
      </c>
      <c r="D16" s="262"/>
      <c r="E16" s="262"/>
      <c r="F16" s="262"/>
      <c r="G16" s="262"/>
      <c r="H16" s="258"/>
      <c r="I16" s="259"/>
      <c r="J16" s="242"/>
      <c r="K16" s="240"/>
      <c r="L16" s="240"/>
      <c r="M16" s="240"/>
      <c r="N16" s="240"/>
      <c r="O16" s="24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A17" s="240"/>
      <c r="B17" s="242"/>
      <c r="C17" s="263" t="s">
        <v>265</v>
      </c>
      <c r="D17" s="262"/>
      <c r="E17" s="262"/>
      <c r="F17" s="262"/>
      <c r="G17" s="262"/>
      <c r="H17" s="258" t="s">
        <v>266</v>
      </c>
      <c r="I17" s="259"/>
      <c r="J17" s="242"/>
      <c r="K17" s="240"/>
      <c r="L17" s="240"/>
      <c r="M17" s="240"/>
      <c r="N17" s="240"/>
      <c r="O17" s="24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A18" s="240"/>
      <c r="B18" s="242"/>
      <c r="C18" s="264" t="s">
        <v>267</v>
      </c>
      <c r="D18" s="265"/>
      <c r="E18" s="265"/>
      <c r="F18" s="265"/>
      <c r="G18" s="265"/>
      <c r="H18" s="258" t="s">
        <v>266</v>
      </c>
      <c r="I18" s="259"/>
      <c r="J18" s="242"/>
      <c r="K18" s="240"/>
      <c r="L18" s="240"/>
      <c r="M18" s="240"/>
      <c r="N18" s="240"/>
      <c r="O18" s="240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23.9" hidden="false" customHeight="false" outlineLevel="0" collapsed="false">
      <c r="A19" s="240"/>
      <c r="B19" s="242"/>
      <c r="C19" s="266" t="s">
        <v>268</v>
      </c>
      <c r="D19" s="267"/>
      <c r="E19" s="267"/>
      <c r="F19" s="267"/>
      <c r="G19" s="267"/>
      <c r="H19" s="268" t="s">
        <v>269</v>
      </c>
      <c r="I19" s="269" t="str">
        <f aca="false">Contents!$C$14</f>
        <v>USD $</v>
      </c>
      <c r="J19" s="242"/>
      <c r="K19" s="240"/>
      <c r="L19" s="240"/>
      <c r="M19" s="240"/>
      <c r="N19" s="240"/>
      <c r="O19" s="240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23.9" hidden="false" customHeight="false" outlineLevel="0" collapsed="false">
      <c r="A20" s="240"/>
      <c r="B20" s="242"/>
      <c r="C20" s="270" t="s">
        <v>270</v>
      </c>
      <c r="D20" s="271"/>
      <c r="E20" s="271"/>
      <c r="F20" s="271"/>
      <c r="G20" s="271"/>
      <c r="H20" s="272" t="s">
        <v>271</v>
      </c>
      <c r="I20" s="269"/>
      <c r="J20" s="242"/>
      <c r="K20" s="240"/>
      <c r="L20" s="240"/>
      <c r="M20" s="240"/>
      <c r="N20" s="240"/>
      <c r="O20" s="240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23.9" hidden="false" customHeight="false" outlineLevel="0" collapsed="false">
      <c r="A21" s="240"/>
      <c r="B21" s="242"/>
      <c r="C21" s="273" t="s">
        <v>272</v>
      </c>
      <c r="D21" s="274"/>
      <c r="E21" s="274"/>
      <c r="F21" s="274"/>
      <c r="G21" s="274"/>
      <c r="H21" s="275" t="s">
        <v>273</v>
      </c>
      <c r="I21" s="269"/>
      <c r="J21" s="242"/>
      <c r="K21" s="240"/>
      <c r="L21" s="240"/>
      <c r="M21" s="240"/>
      <c r="N21" s="240"/>
      <c r="O21" s="240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35" hidden="false" customHeight="false" outlineLevel="0" collapsed="false">
      <c r="A22" s="240"/>
      <c r="B22" s="242"/>
      <c r="C22" s="276" t="s">
        <v>274</v>
      </c>
      <c r="D22" s="277" t="n">
        <f aca="false">IF(AND(D$17&lt;&gt;"YES",D$18&lt;&gt;"",D$19&gt;0),D$19+D$20-D$21,0)</f>
        <v>0</v>
      </c>
      <c r="E22" s="277" t="n">
        <f aca="false">IF(AND(E$17&lt;&gt;"YES",E$18&lt;&gt;"",E$19&gt;0),E$19+E$20-E$21,0)</f>
        <v>0</v>
      </c>
      <c r="F22" s="277" t="n">
        <f aca="false">IF(AND(F$17&lt;&gt;"YES",F$18&lt;&gt;"",F$19&gt;0),F$19+F$20-F$21,0)</f>
        <v>0</v>
      </c>
      <c r="G22" s="277" t="n">
        <f aca="false">IF(AND(G$17&lt;&gt;"YES",G$18&lt;&gt;"",G$19&gt;0),G$19+G$20-G$21,0)</f>
        <v>0</v>
      </c>
      <c r="H22" s="278" t="s">
        <v>275</v>
      </c>
      <c r="I22" s="279" t="n">
        <f aca="false">IF(D22=D25,D22,0)+IF(E22=E25,E22,0)+IF(F22=F25,F22,0)+IF(G22=G25,G22,0)</f>
        <v>0</v>
      </c>
      <c r="J22" s="242"/>
      <c r="K22" s="240"/>
      <c r="L22" s="240"/>
      <c r="M22" s="240"/>
      <c r="N22" s="240"/>
      <c r="O22" s="240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35" hidden="false" customHeight="false" outlineLevel="0" collapsed="false">
      <c r="A23" s="240"/>
      <c r="B23" s="242"/>
      <c r="C23" s="280" t="s">
        <v>276</v>
      </c>
      <c r="D23" s="281" t="n">
        <f aca="false">IF(AND(D$17="YES",D$18&lt;&gt;"",D$19&gt;0),D$19+D$20-D$21,0)</f>
        <v>0</v>
      </c>
      <c r="E23" s="281" t="n">
        <f aca="false">IF(AND(E$17="YES",E$18&lt;&gt;"",E$19&gt;0),E$19+E$20-E$21,0)</f>
        <v>0</v>
      </c>
      <c r="F23" s="281" t="n">
        <f aca="false">IF(AND(F$17="YES",F$18&lt;&gt;"",F$19&gt;0),F$19+F$20-F$21,0)</f>
        <v>0</v>
      </c>
      <c r="G23" s="281" t="n">
        <f aca="false">IF(AND(G$17="YES",G$18&lt;&gt;"",G$19&gt;0),G$19+G$20-G$21,0)</f>
        <v>0</v>
      </c>
      <c r="H23" s="282" t="s">
        <v>277</v>
      </c>
      <c r="I23" s="283" t="n">
        <f aca="false">IF(D23=D25,D23,0)+IF(E23=E25,E23,0)+IF(F23=F25,F23,0)+IF(G23=G25,G23,0)</f>
        <v>0</v>
      </c>
      <c r="J23" s="242"/>
      <c r="K23" s="240"/>
      <c r="L23" s="240"/>
      <c r="M23" s="240"/>
      <c r="N23" s="240"/>
      <c r="O23" s="240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4.25" hidden="false" customHeight="false" outlineLevel="0" collapsed="false">
      <c r="A24" s="240"/>
      <c r="B24" s="242"/>
      <c r="C24" s="284"/>
      <c r="D24" s="285" t="s">
        <v>278</v>
      </c>
      <c r="E24" s="285"/>
      <c r="F24" s="285"/>
      <c r="G24" s="285"/>
      <c r="H24" s="286"/>
      <c r="I24" s="286"/>
      <c r="J24" s="242"/>
      <c r="K24" s="240"/>
      <c r="L24" s="240"/>
      <c r="M24" s="240"/>
      <c r="N24" s="240"/>
      <c r="O24" s="240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23.9" hidden="false" customHeight="false" outlineLevel="0" collapsed="false">
      <c r="A25" s="240"/>
      <c r="B25" s="242"/>
      <c r="C25" s="276" t="s">
        <v>279</v>
      </c>
      <c r="D25" s="287"/>
      <c r="E25" s="287"/>
      <c r="F25" s="287"/>
      <c r="G25" s="287"/>
      <c r="H25" s="286"/>
      <c r="I25" s="286"/>
      <c r="J25" s="242"/>
      <c r="K25" s="240"/>
      <c r="L25" s="240"/>
      <c r="M25" s="240"/>
      <c r="N25" s="240"/>
      <c r="O25" s="240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4.25" hidden="false" customHeight="false" outlineLevel="0" collapsed="false">
      <c r="A26" s="240"/>
      <c r="B26" s="242"/>
      <c r="C26" s="288"/>
      <c r="D26" s="285" t="s">
        <v>280</v>
      </c>
      <c r="E26" s="285"/>
      <c r="F26" s="285"/>
      <c r="G26" s="285"/>
      <c r="H26" s="286"/>
      <c r="I26" s="286"/>
      <c r="J26" s="242"/>
      <c r="K26" s="240"/>
      <c r="L26" s="240"/>
      <c r="M26" s="240"/>
      <c r="N26" s="240"/>
      <c r="O26" s="240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false" outlineLevel="0" collapsed="false">
      <c r="A27" s="240"/>
      <c r="B27" s="242"/>
      <c r="C27" s="289" t="s">
        <v>281</v>
      </c>
      <c r="D27" s="290"/>
      <c r="E27" s="290"/>
      <c r="F27" s="290"/>
      <c r="G27" s="290"/>
      <c r="H27" s="291" t="n">
        <v>1</v>
      </c>
      <c r="I27" s="292"/>
      <c r="J27" s="242"/>
      <c r="K27" s="240"/>
      <c r="L27" s="240"/>
      <c r="M27" s="240"/>
      <c r="N27" s="240"/>
      <c r="O27" s="240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A28" s="240"/>
      <c r="B28" s="242"/>
      <c r="C28" s="293" t="s">
        <v>282</v>
      </c>
      <c r="D28" s="294"/>
      <c r="E28" s="294"/>
      <c r="F28" s="294"/>
      <c r="G28" s="294"/>
      <c r="H28" s="291"/>
      <c r="I28" s="292"/>
      <c r="J28" s="242"/>
      <c r="K28" s="240"/>
      <c r="L28" s="240"/>
      <c r="M28" s="240"/>
      <c r="N28" s="240"/>
      <c r="O28" s="240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A29" s="240"/>
      <c r="B29" s="242"/>
      <c r="C29" s="295" t="s">
        <v>283</v>
      </c>
      <c r="D29" s="296"/>
      <c r="E29" s="296"/>
      <c r="F29" s="296"/>
      <c r="G29" s="296"/>
      <c r="H29" s="291"/>
      <c r="I29" s="292"/>
      <c r="J29" s="242"/>
      <c r="K29" s="240"/>
      <c r="L29" s="240"/>
      <c r="M29" s="240"/>
      <c r="N29" s="240"/>
      <c r="O29" s="240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4.25" hidden="false" customHeight="false" outlineLevel="0" collapsed="false">
      <c r="A30" s="240"/>
      <c r="B30" s="242"/>
      <c r="C30" s="289" t="s">
        <v>281</v>
      </c>
      <c r="D30" s="290"/>
      <c r="E30" s="290"/>
      <c r="F30" s="290"/>
      <c r="G30" s="290"/>
      <c r="H30" s="291" t="n">
        <v>2</v>
      </c>
      <c r="I30" s="292"/>
      <c r="J30" s="242"/>
      <c r="K30" s="240"/>
      <c r="L30" s="240"/>
      <c r="M30" s="240"/>
      <c r="N30" s="240"/>
      <c r="O30" s="240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14.25" hidden="false" customHeight="false" outlineLevel="0" collapsed="false">
      <c r="A31" s="240"/>
      <c r="B31" s="242"/>
      <c r="C31" s="293" t="s">
        <v>282</v>
      </c>
      <c r="D31" s="294"/>
      <c r="E31" s="294"/>
      <c r="F31" s="294"/>
      <c r="G31" s="294"/>
      <c r="H31" s="291"/>
      <c r="I31" s="292"/>
      <c r="J31" s="242"/>
      <c r="K31" s="240"/>
      <c r="L31" s="240"/>
      <c r="M31" s="240"/>
      <c r="N31" s="240"/>
      <c r="O31" s="240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A32" s="240"/>
      <c r="B32" s="242"/>
      <c r="C32" s="295" t="s">
        <v>283</v>
      </c>
      <c r="D32" s="296"/>
      <c r="E32" s="296"/>
      <c r="F32" s="296"/>
      <c r="G32" s="296"/>
      <c r="H32" s="291"/>
      <c r="I32" s="292"/>
      <c r="J32" s="242"/>
      <c r="K32" s="240"/>
      <c r="L32" s="240"/>
      <c r="M32" s="240"/>
      <c r="N32" s="240"/>
      <c r="O32" s="240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A33" s="240"/>
      <c r="B33" s="242"/>
      <c r="C33" s="289" t="s">
        <v>281</v>
      </c>
      <c r="D33" s="290"/>
      <c r="E33" s="290"/>
      <c r="F33" s="290"/>
      <c r="G33" s="290"/>
      <c r="H33" s="291" t="n">
        <v>3</v>
      </c>
      <c r="I33" s="292"/>
      <c r="J33" s="242"/>
      <c r="K33" s="240"/>
      <c r="L33" s="240"/>
      <c r="M33" s="240"/>
      <c r="N33" s="240"/>
      <c r="O33" s="240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A34" s="240"/>
      <c r="B34" s="242"/>
      <c r="C34" s="293" t="s">
        <v>282</v>
      </c>
      <c r="D34" s="294"/>
      <c r="E34" s="294"/>
      <c r="F34" s="294"/>
      <c r="G34" s="294"/>
      <c r="H34" s="291"/>
      <c r="I34" s="292"/>
      <c r="J34" s="242"/>
      <c r="K34" s="240"/>
      <c r="L34" s="240"/>
      <c r="M34" s="240"/>
      <c r="N34" s="240"/>
      <c r="O34" s="240"/>
      <c r="P34" s="79" t="s">
        <v>79</v>
      </c>
      <c r="Q34" s="78"/>
      <c r="R34" s="78"/>
      <c r="S34" s="78"/>
      <c r="T34" s="79" t="s">
        <v>87</v>
      </c>
    </row>
    <row r="35" customFormat="false" ht="14.25" hidden="false" customHeight="false" outlineLevel="0" collapsed="false">
      <c r="A35" s="240"/>
      <c r="B35" s="242"/>
      <c r="C35" s="295" t="s">
        <v>283</v>
      </c>
      <c r="D35" s="296"/>
      <c r="E35" s="296"/>
      <c r="F35" s="296"/>
      <c r="G35" s="296"/>
      <c r="H35" s="291"/>
      <c r="I35" s="292"/>
      <c r="J35" s="242"/>
      <c r="K35" s="240"/>
      <c r="L35" s="240"/>
      <c r="M35" s="240"/>
      <c r="N35" s="240"/>
      <c r="O35" s="240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A36" s="240"/>
      <c r="B36" s="242"/>
      <c r="C36" s="289" t="s">
        <v>281</v>
      </c>
      <c r="D36" s="290"/>
      <c r="E36" s="290"/>
      <c r="F36" s="290"/>
      <c r="G36" s="290"/>
      <c r="H36" s="291" t="n">
        <v>4</v>
      </c>
      <c r="I36" s="292"/>
      <c r="J36" s="242"/>
      <c r="K36" s="240"/>
      <c r="L36" s="240"/>
      <c r="M36" s="240"/>
      <c r="N36" s="240"/>
      <c r="O36" s="240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A37" s="240"/>
      <c r="B37" s="242"/>
      <c r="C37" s="293" t="s">
        <v>282</v>
      </c>
      <c r="D37" s="294"/>
      <c r="E37" s="294"/>
      <c r="F37" s="294"/>
      <c r="G37" s="294"/>
      <c r="H37" s="291"/>
      <c r="I37" s="292"/>
      <c r="J37" s="242"/>
      <c r="K37" s="240"/>
      <c r="L37" s="240"/>
      <c r="M37" s="240"/>
      <c r="N37" s="240"/>
      <c r="O37" s="240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A38" s="240"/>
      <c r="B38" s="242"/>
      <c r="C38" s="295" t="s">
        <v>283</v>
      </c>
      <c r="D38" s="296"/>
      <c r="E38" s="296"/>
      <c r="F38" s="296"/>
      <c r="G38" s="296"/>
      <c r="H38" s="291"/>
      <c r="I38" s="292"/>
      <c r="J38" s="242"/>
      <c r="K38" s="240"/>
      <c r="L38" s="240"/>
      <c r="M38" s="240"/>
      <c r="N38" s="240"/>
      <c r="O38" s="240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A39" s="240"/>
      <c r="B39" s="242"/>
      <c r="C39" s="289" t="s">
        <v>281</v>
      </c>
      <c r="D39" s="290"/>
      <c r="E39" s="290"/>
      <c r="F39" s="290"/>
      <c r="G39" s="290"/>
      <c r="H39" s="291" t="n">
        <v>5</v>
      </c>
      <c r="I39" s="292"/>
      <c r="J39" s="242"/>
      <c r="K39" s="240"/>
      <c r="L39" s="240"/>
      <c r="M39" s="240"/>
      <c r="N39" s="240"/>
      <c r="O39" s="240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A40" s="240"/>
      <c r="B40" s="242"/>
      <c r="C40" s="293" t="s">
        <v>282</v>
      </c>
      <c r="D40" s="294"/>
      <c r="E40" s="294"/>
      <c r="F40" s="294"/>
      <c r="G40" s="294"/>
      <c r="H40" s="291"/>
      <c r="I40" s="292"/>
      <c r="J40" s="242"/>
      <c r="K40" s="240"/>
      <c r="L40" s="240"/>
      <c r="M40" s="240"/>
      <c r="N40" s="240"/>
      <c r="O40" s="240"/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A41" s="240"/>
      <c r="B41" s="242"/>
      <c r="C41" s="295" t="s">
        <v>283</v>
      </c>
      <c r="D41" s="296"/>
      <c r="E41" s="296"/>
      <c r="F41" s="296"/>
      <c r="G41" s="296"/>
      <c r="H41" s="291"/>
      <c r="I41" s="292"/>
      <c r="J41" s="242"/>
      <c r="K41" s="240"/>
      <c r="L41" s="240"/>
      <c r="M41" s="240"/>
      <c r="N41" s="240"/>
      <c r="O41" s="240"/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A42" s="240"/>
      <c r="B42" s="242"/>
      <c r="C42" s="289" t="s">
        <v>281</v>
      </c>
      <c r="D42" s="290"/>
      <c r="E42" s="290"/>
      <c r="F42" s="290"/>
      <c r="G42" s="290"/>
      <c r="H42" s="297" t="n">
        <v>6</v>
      </c>
      <c r="I42" s="292"/>
      <c r="J42" s="242"/>
      <c r="K42" s="240"/>
      <c r="L42" s="240"/>
      <c r="M42" s="240"/>
      <c r="N42" s="240"/>
      <c r="O42" s="240"/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A43" s="240"/>
      <c r="B43" s="242"/>
      <c r="C43" s="293" t="s">
        <v>282</v>
      </c>
      <c r="D43" s="294"/>
      <c r="E43" s="294"/>
      <c r="F43" s="294"/>
      <c r="G43" s="294"/>
      <c r="H43" s="297"/>
      <c r="I43" s="292"/>
      <c r="J43" s="242"/>
      <c r="K43" s="240"/>
      <c r="L43" s="240"/>
      <c r="M43" s="240"/>
      <c r="N43" s="240"/>
      <c r="O43" s="240"/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A44" s="240"/>
      <c r="B44" s="242"/>
      <c r="C44" s="298" t="s">
        <v>283</v>
      </c>
      <c r="D44" s="299"/>
      <c r="E44" s="299"/>
      <c r="F44" s="299"/>
      <c r="G44" s="299"/>
      <c r="H44" s="297"/>
      <c r="I44" s="292"/>
      <c r="J44" s="242"/>
      <c r="K44" s="240"/>
      <c r="L44" s="240"/>
      <c r="M44" s="240"/>
      <c r="N44" s="240"/>
      <c r="O44" s="240"/>
      <c r="P44" s="78"/>
      <c r="Q44" s="78"/>
      <c r="R44" s="78"/>
      <c r="S44" s="78"/>
      <c r="T44" s="78"/>
    </row>
    <row r="45" customFormat="false" ht="14.25" hidden="false" customHeight="false" outlineLevel="0" collapsed="false">
      <c r="A45" s="240"/>
      <c r="B45" s="242"/>
      <c r="C45" s="300" t="s">
        <v>284</v>
      </c>
      <c r="D45" s="300"/>
      <c r="E45" s="300"/>
      <c r="F45" s="300"/>
      <c r="G45" s="300"/>
      <c r="H45" s="300"/>
      <c r="I45" s="300"/>
      <c r="J45" s="242"/>
      <c r="K45" s="240"/>
      <c r="L45" s="240"/>
      <c r="M45" s="240"/>
      <c r="N45" s="240"/>
      <c r="O45" s="240"/>
      <c r="P45" s="78"/>
      <c r="Q45" s="78"/>
      <c r="R45" s="78"/>
      <c r="S45" s="78"/>
      <c r="T45" s="78"/>
    </row>
    <row r="46" customFormat="false" ht="14.25" hidden="false" customHeight="false" outlineLevel="0" collapsed="false">
      <c r="A46" s="240"/>
      <c r="B46" s="242"/>
      <c r="C46" s="301" t="s">
        <v>896</v>
      </c>
      <c r="D46" s="301"/>
      <c r="E46" s="301"/>
      <c r="F46" s="301"/>
      <c r="G46" s="301"/>
      <c r="H46" s="301"/>
      <c r="I46" s="301"/>
      <c r="J46" s="242"/>
      <c r="K46" s="240"/>
      <c r="L46" s="240"/>
      <c r="M46" s="240"/>
      <c r="N46" s="240"/>
      <c r="O46" s="240"/>
      <c r="Q46" s="78"/>
      <c r="R46" s="78"/>
      <c r="S46" s="78"/>
      <c r="T46" s="78"/>
    </row>
    <row r="47" customFormat="false" ht="14.25" hidden="false" customHeight="false" outlineLevel="0" collapsed="false">
      <c r="A47" s="240"/>
      <c r="B47" s="240"/>
      <c r="C47" s="302" t="s">
        <v>203</v>
      </c>
      <c r="D47" s="302" t="s">
        <v>201</v>
      </c>
      <c r="E47" s="302" t="s">
        <v>251</v>
      </c>
      <c r="F47" s="240"/>
      <c r="G47" s="240"/>
      <c r="H47" s="241"/>
      <c r="I47" s="240"/>
      <c r="J47" s="240"/>
      <c r="K47" s="240"/>
      <c r="L47" s="240"/>
      <c r="M47" s="240"/>
      <c r="N47" s="240"/>
      <c r="O47" s="240"/>
      <c r="Q47" s="78"/>
      <c r="R47" s="78"/>
      <c r="S47" s="78"/>
      <c r="T47" s="78"/>
    </row>
    <row r="48" customFormat="false" ht="14.25" hidden="false" customHeight="false" outlineLevel="0" collapsed="false">
      <c r="A48" s="240"/>
      <c r="B48" s="240"/>
      <c r="C48" s="302" t="s">
        <v>252</v>
      </c>
      <c r="D48" s="302" t="s">
        <v>264</v>
      </c>
      <c r="E48" s="302" t="s">
        <v>221</v>
      </c>
      <c r="F48" s="240"/>
      <c r="G48" s="240"/>
      <c r="H48" s="241"/>
      <c r="I48" s="240"/>
      <c r="J48" s="240"/>
      <c r="K48" s="240"/>
      <c r="L48" s="240"/>
      <c r="M48" s="240"/>
      <c r="N48" s="240"/>
      <c r="O48" s="240"/>
      <c r="S48" s="78"/>
    </row>
    <row r="49" customFormat="false" ht="14.25" hidden="false" customHeight="false" outlineLevel="0" collapsed="false">
      <c r="A49" s="240"/>
      <c r="B49" s="240"/>
      <c r="C49" s="302" t="s">
        <v>253</v>
      </c>
      <c r="D49" s="302" t="s">
        <v>286</v>
      </c>
      <c r="E49" s="302"/>
      <c r="F49" s="240"/>
      <c r="G49" s="240"/>
      <c r="H49" s="241"/>
      <c r="I49" s="240"/>
      <c r="J49" s="240"/>
      <c r="K49" s="240"/>
      <c r="L49" s="240"/>
      <c r="M49" s="240"/>
      <c r="N49" s="240"/>
      <c r="O49" s="240"/>
      <c r="S49" s="78"/>
    </row>
    <row r="50" customFormat="false" ht="14.25" hidden="false" customHeight="false" outlineLevel="0" collapsed="false">
      <c r="A50" s="240"/>
      <c r="B50" s="240"/>
      <c r="C50" s="302"/>
      <c r="D50" s="302" t="s">
        <v>287</v>
      </c>
      <c r="E50" s="302"/>
      <c r="F50" s="240"/>
      <c r="G50" s="240"/>
      <c r="H50" s="241"/>
      <c r="I50" s="240"/>
      <c r="J50" s="240"/>
      <c r="K50" s="240"/>
      <c r="L50" s="240"/>
      <c r="M50" s="240"/>
      <c r="N50" s="240"/>
      <c r="O50" s="240"/>
    </row>
    <row r="51" customFormat="false" ht="14.25" hidden="false" customHeight="false" outlineLevel="0" collapsed="false">
      <c r="A51" s="240"/>
      <c r="B51" s="240"/>
      <c r="C51" s="302"/>
      <c r="D51" s="302" t="s">
        <v>253</v>
      </c>
      <c r="E51" s="302"/>
      <c r="F51" s="240"/>
      <c r="G51" s="240"/>
      <c r="H51" s="241"/>
      <c r="I51" s="240"/>
      <c r="J51" s="240"/>
      <c r="K51" s="240"/>
      <c r="L51" s="240"/>
      <c r="M51" s="240"/>
      <c r="N51" s="240"/>
      <c r="O51" s="240"/>
    </row>
    <row r="52" customFormat="false" ht="14.25" hidden="false" customHeight="false" outlineLevel="0" collapsed="false">
      <c r="A52" s="240"/>
      <c r="B52" s="240"/>
      <c r="C52" s="240"/>
      <c r="D52" s="303"/>
      <c r="E52" s="240"/>
      <c r="F52" s="240"/>
      <c r="G52" s="240"/>
      <c r="H52" s="241"/>
      <c r="I52" s="240"/>
      <c r="J52" s="240"/>
      <c r="K52" s="240"/>
      <c r="L52" s="240"/>
      <c r="M52" s="240"/>
      <c r="N52" s="240"/>
      <c r="O52" s="240"/>
    </row>
    <row r="53" customFormat="false" ht="14.25" hidden="false" customHeight="false" outlineLevel="0" collapsed="false">
      <c r="A53" s="240"/>
      <c r="B53" s="240"/>
      <c r="C53" s="240"/>
      <c r="D53" s="240"/>
      <c r="E53" s="240"/>
      <c r="F53" s="240"/>
      <c r="G53" s="240"/>
      <c r="H53" s="241"/>
      <c r="I53" s="240"/>
      <c r="J53" s="240"/>
      <c r="K53" s="240"/>
      <c r="L53" s="240"/>
      <c r="M53" s="240"/>
      <c r="N53" s="240"/>
      <c r="O53" s="240"/>
    </row>
    <row r="54" customFormat="false" ht="14.25" hidden="false" customHeight="false" outlineLevel="0" collapsed="false">
      <c r="A54" s="240"/>
      <c r="B54" s="240"/>
      <c r="C54" s="240"/>
      <c r="D54" s="240"/>
      <c r="E54" s="240"/>
      <c r="F54" s="240"/>
      <c r="G54" s="240"/>
      <c r="H54" s="241"/>
      <c r="I54" s="240"/>
      <c r="J54" s="240"/>
      <c r="K54" s="240"/>
      <c r="L54" s="240"/>
      <c r="M54" s="240"/>
      <c r="N54" s="240"/>
      <c r="O54" s="240"/>
    </row>
    <row r="55" customFormat="false" ht="14.25" hidden="false" customHeight="false" outlineLevel="0" collapsed="false">
      <c r="A55" s="240"/>
      <c r="B55" s="240"/>
      <c r="C55" s="240"/>
      <c r="D55" s="240"/>
      <c r="E55" s="240"/>
      <c r="F55" s="240"/>
      <c r="G55" s="240"/>
      <c r="H55" s="241"/>
      <c r="I55" s="240"/>
      <c r="J55" s="240"/>
      <c r="K55" s="240"/>
      <c r="L55" s="240"/>
      <c r="M55" s="240"/>
      <c r="N55" s="240"/>
      <c r="O55" s="240"/>
    </row>
    <row r="56" customFormat="false" ht="14.25" hidden="false" customHeight="false" outlineLevel="0" collapsed="false">
      <c r="A56" s="240"/>
      <c r="B56" s="240"/>
      <c r="C56" s="240"/>
      <c r="D56" s="240"/>
      <c r="E56" s="240"/>
      <c r="F56" s="240"/>
      <c r="G56" s="240"/>
      <c r="H56" s="241"/>
      <c r="I56" s="240"/>
      <c r="J56" s="240"/>
      <c r="K56" s="240"/>
      <c r="L56" s="240"/>
      <c r="M56" s="240"/>
      <c r="N56" s="240"/>
      <c r="O56" s="240"/>
    </row>
    <row r="57" customFormat="false" ht="14.25" hidden="false" customHeight="false" outlineLevel="0" collapsed="false">
      <c r="A57" s="240"/>
      <c r="B57" s="240"/>
      <c r="C57" s="240"/>
      <c r="D57" s="240"/>
      <c r="E57" s="240"/>
      <c r="F57" s="240"/>
      <c r="G57" s="240"/>
      <c r="H57" s="241"/>
      <c r="I57" s="240"/>
      <c r="J57" s="240"/>
      <c r="K57" s="240"/>
      <c r="L57" s="240"/>
      <c r="M57" s="240"/>
      <c r="N57" s="240"/>
      <c r="O57" s="240"/>
    </row>
    <row r="63" customFormat="false" ht="14.25" hidden="false" customHeight="false" outlineLevel="0" collapsed="false">
      <c r="C63" s="302" t="n">
        <f aca="false">DATEVALUE(Contents!$C$64)</f>
        <v>46022</v>
      </c>
    </row>
  </sheetData>
  <sheetProtection algorithmName="SHA-512" hashValue="uMHxdXnRCRko4GTifOLu3mikfVSaq1QMcBSEK3SK54ab7X0GbC5Q6M93AyOKP8nnz4ud0mszgH4HbeE58ywaPA==" saltValue="Ox2xGNEz3xWnXMYc5OkZnA==" spinCount="100000" sheet="true" objects="true" scenarios="true"/>
  <mergeCells count="17">
    <mergeCell ref="C3:I3"/>
    <mergeCell ref="C4:I4"/>
    <mergeCell ref="C6:I6"/>
    <mergeCell ref="C8:I8"/>
    <mergeCell ref="I19:I21"/>
    <mergeCell ref="D24:G24"/>
    <mergeCell ref="H24:I26"/>
    <mergeCell ref="D26:G26"/>
    <mergeCell ref="H27:H29"/>
    <mergeCell ref="I27:I44"/>
    <mergeCell ref="H30:H32"/>
    <mergeCell ref="H33:H35"/>
    <mergeCell ref="H36:H38"/>
    <mergeCell ref="H39:H41"/>
    <mergeCell ref="H42:H44"/>
    <mergeCell ref="C45:I45"/>
    <mergeCell ref="C46:I46"/>
  </mergeCells>
  <conditionalFormatting sqref="D29:G29 D32:G32 D35:G35 D44:G44 D38:G41">
    <cfRule type="expression" priority="2" aboveAverage="0" equalAverage="0" bottom="0" percent="0" rank="0" text="" dxfId="49">
      <formula>IF(OR(ISBLANK(D29),D29=0,ISBLANK($C$63)),0, IF(D29&lt;$C$63,1,0))</formula>
    </cfRule>
    <cfRule type="expression" priority="3" aboveAverage="0" equalAverage="0" bottom="0" percent="0" rank="0" text="" dxfId="50">
      <formula>IF(OR(ISBLANK(D29),ISBLANK($C$63)),0,IF(DATE(YEAR(D29),MONTH(D29)-2,DAY(D29))&lt;$C$63,1,0))</formula>
    </cfRule>
  </conditionalFormatting>
  <conditionalFormatting sqref="D22:G22">
    <cfRule type="expression" priority="4" aboveAverage="0" equalAverage="0" bottom="0" percent="0" rank="0" text="" dxfId="51">
      <formula>AND(D22=D25,D22&gt;0)</formula>
    </cfRule>
    <cfRule type="expression" priority="5" aboveAverage="0" equalAverage="0" bottom="0" percent="0" rank="0" text="" dxfId="52">
      <formula>OR(D22&lt;&gt;D25,D22&lt;=0)</formula>
    </cfRule>
  </conditionalFormatting>
  <conditionalFormatting sqref="D25:G25">
    <cfRule type="expression" priority="6" aboveAverage="0" equalAverage="0" bottom="0" percent="0" rank="0" text="" dxfId="53">
      <formula>IF(D17="YES",AND(D23=D25,D23&gt;0),AND(D22=D25,D22&gt;0))</formula>
    </cfRule>
  </conditionalFormatting>
  <dataValidations count="6">
    <dataValidation allowBlank="true" error="Enter a date." errorStyle="stop" operator="greaterThan" showDropDown="false" showErrorMessage="true" showInputMessage="true" sqref="D18:G18" type="date">
      <formula1>36526</formula1>
      <formula2>0</formula2>
    </dataValidation>
    <dataValidation allowBlank="true" error="Enter a dollar amount greater than zero." errorStyle="stop" operator="greaterThanOrEqual" showDropDown="false" showErrorMessage="true" showInputMessage="true" sqref="D19:G21 D25:G25" type="decimal">
      <formula1>0</formula1>
      <formula2>0</formula2>
    </dataValidation>
    <dataValidation allowBlank="true" error="Please enter a valid date." errorStyle="stop" operator="greaterThan" showDropDown="false" showErrorMessage="true" showInputMessage="true" sqref="D29:G29 D32:G32 D35:G35 D38:G38 D41:G41 D44:G44" type="date">
      <formula1>36526</formula1>
      <formula2>0</formula2>
    </dataValidation>
    <dataValidation allowBlank="true" error="Enter a number greater than zero." errorStyle="stop" operator="greaterThan" showDropDown="false" showErrorMessage="true" showInputMessage="true" sqref="D15:G15" type="list">
      <formula1>$C$47:$C$49</formula1>
      <formula2>0</formula2>
    </dataValidation>
    <dataValidation allowBlank="false" errorStyle="stop" operator="between" showDropDown="false" showErrorMessage="true" showInputMessage="true" sqref="D16:G16" type="list">
      <formula1>$D$47:$D$53</formula1>
      <formula2>0</formula2>
    </dataValidation>
    <dataValidation allowBlank="false" errorStyle="stop" operator="between" showDropDown="false" showErrorMessage="true" showInputMessage="true" sqref="D17:G17" type="list">
      <formula1>$E$47:$E$48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66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P5" activeCellId="0" sqref="P5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4" min="3" style="1" width="35.62"/>
    <col collapsed="false" customWidth="true" hidden="false" outlineLevel="0" max="6" min="5" style="1" width="18.62"/>
    <col collapsed="false" customWidth="true" hidden="false" outlineLevel="0" max="8" min="7" style="1" width="3.62"/>
    <col collapsed="false" customWidth="false" hidden="true" outlineLevel="0" max="15" min="9" style="1" width="9.1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502"/>
      <c r="B1" s="503"/>
      <c r="C1" s="503"/>
      <c r="D1" s="503"/>
      <c r="E1" s="503"/>
      <c r="F1" s="503"/>
      <c r="G1" s="503"/>
      <c r="H1" s="503"/>
      <c r="I1" s="503"/>
      <c r="J1" s="503"/>
      <c r="K1" s="503"/>
      <c r="L1" s="503"/>
      <c r="M1" s="503"/>
      <c r="N1" s="503"/>
      <c r="O1" s="50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503"/>
    </row>
    <row r="2" customFormat="false" ht="14.25" hidden="false" customHeight="false" outlineLevel="0" collapsed="false">
      <c r="A2" s="503"/>
      <c r="B2" s="504"/>
      <c r="C2" s="81" t="str">
        <f aca="false">Contents!B59</f>
        <v>Version: AS L 6 LARGE locked LOCAL</v>
      </c>
      <c r="D2" s="5"/>
      <c r="E2" s="504"/>
      <c r="F2" s="504"/>
      <c r="G2" s="504"/>
      <c r="H2" s="503"/>
      <c r="I2" s="503"/>
      <c r="J2" s="503"/>
      <c r="K2" s="503"/>
      <c r="L2" s="503"/>
      <c r="M2" s="503"/>
      <c r="N2" s="503"/>
      <c r="O2" s="503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503"/>
    </row>
    <row r="3" customFormat="false" ht="14.25" hidden="false" customHeight="false" outlineLevel="0" collapsed="false">
      <c r="A3" s="505"/>
      <c r="B3" s="506"/>
      <c r="C3" s="507" t="str">
        <f aca="false">Contents!$E$3</f>
        <v>THE SOCIETY FOR CREATIVE ANACHRONISM, INC.</v>
      </c>
      <c r="D3" s="507"/>
      <c r="E3" s="507"/>
      <c r="F3" s="507"/>
      <c r="G3" s="506"/>
      <c r="H3" s="505"/>
      <c r="I3" s="505"/>
      <c r="J3" s="505"/>
      <c r="K3" s="505"/>
      <c r="L3" s="505"/>
      <c r="M3" s="505"/>
      <c r="N3" s="505"/>
      <c r="O3" s="50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505"/>
    </row>
    <row r="4" customFormat="false" ht="14.25" hidden="false" customHeight="false" outlineLevel="0" collapsed="false">
      <c r="A4" s="503"/>
      <c r="B4" s="506"/>
      <c r="C4" s="507" t="str">
        <f aca="false">Contents!$E$4</f>
        <v>FINANCIAL REPORT</v>
      </c>
      <c r="D4" s="507"/>
      <c r="E4" s="507"/>
      <c r="F4" s="507"/>
      <c r="G4" s="506"/>
      <c r="H4" s="503"/>
      <c r="I4" s="503"/>
      <c r="J4" s="503"/>
      <c r="K4" s="503"/>
      <c r="L4" s="503"/>
      <c r="M4" s="503"/>
      <c r="N4" s="503"/>
      <c r="O4" s="50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503"/>
    </row>
    <row r="5" customFormat="false" ht="14.25" hidden="false" customHeight="false" outlineLevel="0" collapsed="false">
      <c r="A5" s="503"/>
      <c r="B5" s="504"/>
      <c r="C5" s="504"/>
      <c r="D5" s="504"/>
      <c r="E5" s="504"/>
      <c r="F5" s="504"/>
      <c r="G5" s="504"/>
      <c r="H5" s="503"/>
      <c r="I5" s="503"/>
      <c r="J5" s="503"/>
      <c r="K5" s="503"/>
      <c r="L5" s="503"/>
      <c r="M5" s="503"/>
      <c r="N5" s="503"/>
      <c r="O5" s="50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503"/>
    </row>
    <row r="6" customFormat="false" ht="14.25" hidden="false" customHeight="false" outlineLevel="0" collapsed="false">
      <c r="A6" s="503"/>
      <c r="B6" s="504"/>
      <c r="C6" s="508" t="str">
        <f aca="false">Contents!B58</f>
        <v>Branch:   SCA, Inc.- Middle Kingdom                                               Period:  1/01/2025             to     12/31/2025            .</v>
      </c>
      <c r="D6" s="508"/>
      <c r="E6" s="508"/>
      <c r="F6" s="508"/>
      <c r="G6" s="504"/>
      <c r="H6" s="503"/>
      <c r="I6" s="503"/>
      <c r="J6" s="503"/>
      <c r="K6" s="503"/>
      <c r="L6" s="503"/>
      <c r="M6" s="503"/>
      <c r="N6" s="503"/>
      <c r="O6" s="503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503"/>
    </row>
    <row r="7" customFormat="false" ht="14.25" hidden="false" customHeight="false" outlineLevel="0" collapsed="false">
      <c r="A7" s="503"/>
      <c r="B7" s="504"/>
      <c r="C7" s="504"/>
      <c r="D7" s="504"/>
      <c r="E7" s="504"/>
      <c r="F7" s="504"/>
      <c r="G7" s="504"/>
      <c r="H7" s="503"/>
      <c r="I7" s="503"/>
      <c r="J7" s="503"/>
      <c r="K7" s="503"/>
      <c r="L7" s="503"/>
      <c r="M7" s="503"/>
      <c r="N7" s="503"/>
      <c r="O7" s="50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503"/>
    </row>
    <row r="8" customFormat="false" ht="17.35" hidden="false" customHeight="false" outlineLevel="0" collapsed="false">
      <c r="A8" s="503"/>
      <c r="B8" s="504"/>
      <c r="C8" s="509" t="s">
        <v>897</v>
      </c>
      <c r="D8" s="509"/>
      <c r="E8" s="509"/>
      <c r="F8" s="509"/>
      <c r="G8" s="504"/>
      <c r="H8" s="503"/>
      <c r="I8" s="503"/>
      <c r="J8" s="503"/>
      <c r="K8" s="503"/>
      <c r="L8" s="503"/>
      <c r="M8" s="503"/>
      <c r="N8" s="503"/>
      <c r="O8" s="503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503"/>
    </row>
    <row r="9" customFormat="false" ht="14.25" hidden="false" customHeight="false" outlineLevel="0" collapsed="false">
      <c r="A9" s="510"/>
      <c r="B9" s="504"/>
      <c r="C9" s="504"/>
      <c r="D9" s="504"/>
      <c r="E9" s="504"/>
      <c r="F9" s="504"/>
      <c r="G9" s="504"/>
      <c r="H9" s="510"/>
      <c r="I9" s="510"/>
      <c r="J9" s="510"/>
      <c r="K9" s="510"/>
      <c r="L9" s="510"/>
      <c r="M9" s="510"/>
      <c r="N9" s="510"/>
      <c r="O9" s="51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510"/>
    </row>
    <row r="10" customFormat="false" ht="14.25" hidden="false" customHeight="false" outlineLevel="0" collapsed="false">
      <c r="A10" s="119"/>
      <c r="B10" s="120"/>
      <c r="C10" s="1244" t="s">
        <v>420</v>
      </c>
      <c r="D10" s="1244"/>
      <c r="E10" s="1244"/>
      <c r="F10" s="1244"/>
      <c r="G10" s="504"/>
      <c r="H10" s="119"/>
      <c r="I10" s="119"/>
      <c r="J10" s="119"/>
      <c r="K10" s="119"/>
      <c r="L10" s="119"/>
      <c r="M10" s="119"/>
      <c r="N10" s="119"/>
      <c r="O10" s="119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19"/>
    </row>
    <row r="11" customFormat="false" ht="14.25" hidden="false" customHeight="false" outlineLevel="0" collapsed="false">
      <c r="A11" s="119"/>
      <c r="B11" s="120"/>
      <c r="C11" s="1244" t="s">
        <v>421</v>
      </c>
      <c r="D11" s="1244"/>
      <c r="E11" s="1244"/>
      <c r="F11" s="1244"/>
      <c r="G11" s="504"/>
      <c r="H11" s="119"/>
      <c r="I11" s="119"/>
      <c r="J11" s="119"/>
      <c r="K11" s="119"/>
      <c r="L11" s="119"/>
      <c r="M11" s="119"/>
      <c r="N11" s="119"/>
      <c r="O11" s="119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19"/>
    </row>
    <row r="12" customFormat="false" ht="14.25" hidden="false" customHeight="false" outlineLevel="0" collapsed="false">
      <c r="A12" s="119"/>
      <c r="B12" s="504"/>
      <c r="C12" s="1245" t="s">
        <v>422</v>
      </c>
      <c r="D12" s="1246" t="s">
        <v>423</v>
      </c>
      <c r="E12" s="1246" t="s">
        <v>424</v>
      </c>
      <c r="F12" s="1247" t="s">
        <v>425</v>
      </c>
      <c r="G12" s="504"/>
      <c r="H12" s="119"/>
      <c r="I12" s="119"/>
      <c r="J12" s="119"/>
      <c r="K12" s="119"/>
      <c r="L12" s="119"/>
      <c r="M12" s="119"/>
      <c r="N12" s="119"/>
      <c r="O12" s="119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19"/>
    </row>
    <row r="13" customFormat="false" ht="14.25" hidden="false" customHeight="false" outlineLevel="0" collapsed="false">
      <c r="A13" s="119"/>
      <c r="B13" s="504"/>
      <c r="C13" s="521"/>
      <c r="D13" s="570"/>
      <c r="E13" s="540"/>
      <c r="F13" s="541"/>
      <c r="G13" s="504"/>
      <c r="H13" s="119"/>
      <c r="I13" s="119"/>
      <c r="J13" s="119"/>
      <c r="K13" s="119"/>
      <c r="L13" s="119"/>
      <c r="M13" s="119"/>
      <c r="N13" s="119"/>
      <c r="O13" s="119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19"/>
    </row>
    <row r="14" customFormat="false" ht="14.25" hidden="false" customHeight="false" outlineLevel="0" collapsed="false">
      <c r="A14" s="119"/>
      <c r="B14" s="504"/>
      <c r="C14" s="524"/>
      <c r="D14" s="570"/>
      <c r="E14" s="540"/>
      <c r="F14" s="541"/>
      <c r="G14" s="504"/>
      <c r="H14" s="119"/>
      <c r="I14" s="119"/>
      <c r="J14" s="119"/>
      <c r="K14" s="119"/>
      <c r="L14" s="119"/>
      <c r="M14" s="119"/>
      <c r="N14" s="119"/>
      <c r="O14" s="119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19"/>
    </row>
    <row r="15" customFormat="false" ht="14.25" hidden="false" customHeight="false" outlineLevel="0" collapsed="false">
      <c r="A15" s="119"/>
      <c r="B15" s="504"/>
      <c r="C15" s="524"/>
      <c r="D15" s="570"/>
      <c r="E15" s="540"/>
      <c r="F15" s="541"/>
      <c r="G15" s="504"/>
      <c r="H15" s="119"/>
      <c r="I15" s="119"/>
      <c r="J15" s="119"/>
      <c r="K15" s="119"/>
      <c r="L15" s="119"/>
      <c r="M15" s="119"/>
      <c r="N15" s="119"/>
      <c r="O15" s="119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19"/>
    </row>
    <row r="16" customFormat="false" ht="14.25" hidden="false" customHeight="false" outlineLevel="0" collapsed="false">
      <c r="A16" s="503"/>
      <c r="B16" s="504"/>
      <c r="C16" s="524"/>
      <c r="D16" s="570"/>
      <c r="E16" s="540"/>
      <c r="F16" s="541"/>
      <c r="G16" s="504"/>
      <c r="H16" s="527"/>
      <c r="I16" s="527"/>
      <c r="J16" s="527"/>
      <c r="K16" s="527"/>
      <c r="L16" s="527"/>
      <c r="M16" s="527"/>
      <c r="N16" s="527"/>
      <c r="O16" s="527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503"/>
    </row>
    <row r="17" customFormat="false" ht="14.25" hidden="false" customHeight="false" outlineLevel="0" collapsed="false">
      <c r="A17" s="503"/>
      <c r="B17" s="504"/>
      <c r="C17" s="524"/>
      <c r="D17" s="570"/>
      <c r="E17" s="540"/>
      <c r="F17" s="541"/>
      <c r="G17" s="504"/>
      <c r="H17" s="503"/>
      <c r="I17" s="503"/>
      <c r="J17" s="503"/>
      <c r="K17" s="503"/>
      <c r="L17" s="503"/>
      <c r="M17" s="503"/>
      <c r="N17" s="503"/>
      <c r="O17" s="50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503"/>
    </row>
    <row r="18" customFormat="false" ht="14.25" hidden="false" customHeight="false" outlineLevel="0" collapsed="false">
      <c r="A18" s="503"/>
      <c r="B18" s="504"/>
      <c r="C18" s="524"/>
      <c r="D18" s="570"/>
      <c r="E18" s="540"/>
      <c r="F18" s="541"/>
      <c r="G18" s="504"/>
      <c r="H18" s="503"/>
      <c r="I18" s="503"/>
      <c r="J18" s="503"/>
      <c r="K18" s="503"/>
      <c r="L18" s="503"/>
      <c r="M18" s="503"/>
      <c r="N18" s="503"/>
      <c r="O18" s="503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503"/>
    </row>
    <row r="19" customFormat="false" ht="14.25" hidden="false" customHeight="false" outlineLevel="0" collapsed="false">
      <c r="A19" s="503"/>
      <c r="B19" s="504"/>
      <c r="C19" s="524"/>
      <c r="D19" s="570"/>
      <c r="E19" s="540"/>
      <c r="F19" s="541"/>
      <c r="G19" s="504"/>
      <c r="H19" s="503"/>
      <c r="I19" s="503"/>
      <c r="J19" s="503"/>
      <c r="K19" s="503"/>
      <c r="L19" s="503"/>
      <c r="M19" s="503"/>
      <c r="N19" s="503"/>
      <c r="O19" s="503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503"/>
    </row>
    <row r="20" customFormat="false" ht="14.25" hidden="false" customHeight="false" outlineLevel="0" collapsed="false">
      <c r="A20" s="503"/>
      <c r="B20" s="504"/>
      <c r="C20" s="524"/>
      <c r="D20" s="570"/>
      <c r="E20" s="540"/>
      <c r="F20" s="541"/>
      <c r="G20" s="504"/>
      <c r="H20" s="503"/>
      <c r="I20" s="503"/>
      <c r="J20" s="503"/>
      <c r="K20" s="503"/>
      <c r="L20" s="503"/>
      <c r="M20" s="503"/>
      <c r="N20" s="503"/>
      <c r="O20" s="503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503"/>
    </row>
    <row r="21" customFormat="false" ht="14.25" hidden="false" customHeight="false" outlineLevel="0" collapsed="false">
      <c r="A21" s="503"/>
      <c r="B21" s="504"/>
      <c r="C21" s="524"/>
      <c r="D21" s="570"/>
      <c r="E21" s="540"/>
      <c r="F21" s="541"/>
      <c r="G21" s="504"/>
      <c r="H21" s="503"/>
      <c r="I21" s="503"/>
      <c r="J21" s="503"/>
      <c r="K21" s="503"/>
      <c r="L21" s="503"/>
      <c r="M21" s="503"/>
      <c r="N21" s="503"/>
      <c r="O21" s="503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503"/>
    </row>
    <row r="22" customFormat="false" ht="14.25" hidden="false" customHeight="false" outlineLevel="0" collapsed="false">
      <c r="A22" s="503"/>
      <c r="B22" s="504"/>
      <c r="C22" s="524"/>
      <c r="D22" s="570"/>
      <c r="E22" s="540"/>
      <c r="F22" s="541"/>
      <c r="G22" s="504"/>
      <c r="H22" s="503"/>
      <c r="I22" s="503"/>
      <c r="J22" s="503"/>
      <c r="K22" s="503"/>
      <c r="L22" s="503"/>
      <c r="M22" s="503"/>
      <c r="N22" s="503"/>
      <c r="O22" s="503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503"/>
    </row>
    <row r="23" customFormat="false" ht="14.25" hidden="false" customHeight="false" outlineLevel="0" collapsed="false">
      <c r="A23" s="503"/>
      <c r="B23" s="504"/>
      <c r="C23" s="524"/>
      <c r="D23" s="570"/>
      <c r="E23" s="540"/>
      <c r="F23" s="541"/>
      <c r="G23" s="504"/>
      <c r="H23" s="503"/>
      <c r="I23" s="503"/>
      <c r="J23" s="503"/>
      <c r="K23" s="503"/>
      <c r="L23" s="503"/>
      <c r="M23" s="503"/>
      <c r="N23" s="503"/>
      <c r="O23" s="503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503"/>
    </row>
    <row r="24" customFormat="false" ht="14.25" hidden="false" customHeight="false" outlineLevel="0" collapsed="false">
      <c r="A24" s="503"/>
      <c r="B24" s="504"/>
      <c r="C24" s="524"/>
      <c r="D24" s="570"/>
      <c r="E24" s="540"/>
      <c r="F24" s="541"/>
      <c r="G24" s="504"/>
      <c r="H24" s="503"/>
      <c r="I24" s="503"/>
      <c r="J24" s="503"/>
      <c r="K24" s="503"/>
      <c r="L24" s="503"/>
      <c r="M24" s="503"/>
      <c r="N24" s="503"/>
      <c r="O24" s="503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503"/>
    </row>
    <row r="25" customFormat="false" ht="14.25" hidden="false" customHeight="false" outlineLevel="0" collapsed="false">
      <c r="A25" s="503"/>
      <c r="B25" s="504"/>
      <c r="C25" s="524"/>
      <c r="D25" s="570"/>
      <c r="E25" s="540"/>
      <c r="F25" s="541"/>
      <c r="G25" s="504"/>
      <c r="H25" s="503"/>
      <c r="I25" s="503"/>
      <c r="J25" s="503"/>
      <c r="K25" s="503"/>
      <c r="L25" s="503"/>
      <c r="M25" s="503"/>
      <c r="N25" s="503"/>
      <c r="O25" s="503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503"/>
    </row>
    <row r="26" customFormat="false" ht="14.25" hidden="false" customHeight="false" outlineLevel="0" collapsed="false">
      <c r="A26" s="503"/>
      <c r="B26" s="504"/>
      <c r="C26" s="524"/>
      <c r="D26" s="570"/>
      <c r="E26" s="540"/>
      <c r="F26" s="541"/>
      <c r="G26" s="504"/>
      <c r="H26" s="503"/>
      <c r="I26" s="503"/>
      <c r="J26" s="503"/>
      <c r="K26" s="503"/>
      <c r="L26" s="503"/>
      <c r="M26" s="503"/>
      <c r="N26" s="503"/>
      <c r="O26" s="503"/>
      <c r="P26" s="79" t="s">
        <v>174</v>
      </c>
      <c r="Q26" s="78"/>
      <c r="R26" s="78"/>
      <c r="S26" s="79" t="s">
        <v>83</v>
      </c>
      <c r="T26" s="79" t="s">
        <v>174</v>
      </c>
      <c r="U26" s="503"/>
    </row>
    <row r="27" customFormat="false" ht="14.25" hidden="false" customHeight="false" outlineLevel="0" collapsed="false">
      <c r="A27" s="503"/>
      <c r="B27" s="504"/>
      <c r="C27" s="524"/>
      <c r="D27" s="570"/>
      <c r="E27" s="540"/>
      <c r="F27" s="541"/>
      <c r="G27" s="504"/>
      <c r="H27" s="503"/>
      <c r="I27" s="503"/>
      <c r="J27" s="503"/>
      <c r="K27" s="503"/>
      <c r="L27" s="503"/>
      <c r="M27" s="503"/>
      <c r="N27" s="503"/>
      <c r="O27" s="503"/>
      <c r="P27" s="79" t="s">
        <v>177</v>
      </c>
      <c r="Q27" s="78"/>
      <c r="R27" s="78"/>
      <c r="S27" s="79" t="s">
        <v>85</v>
      </c>
      <c r="T27" s="79" t="s">
        <v>76</v>
      </c>
      <c r="U27" s="503"/>
    </row>
    <row r="28" customFormat="false" ht="14.25" hidden="false" customHeight="false" outlineLevel="0" collapsed="false">
      <c r="A28" s="503"/>
      <c r="B28" s="504"/>
      <c r="C28" s="524"/>
      <c r="D28" s="570"/>
      <c r="E28" s="540"/>
      <c r="F28" s="541"/>
      <c r="G28" s="504"/>
      <c r="H28" s="503"/>
      <c r="I28" s="503"/>
      <c r="J28" s="503"/>
      <c r="K28" s="503"/>
      <c r="L28" s="503"/>
      <c r="M28" s="503"/>
      <c r="N28" s="503"/>
      <c r="O28" s="503"/>
      <c r="P28" s="79" t="s">
        <v>178</v>
      </c>
      <c r="Q28" s="78"/>
      <c r="R28" s="78"/>
      <c r="S28" s="79" t="s">
        <v>86</v>
      </c>
      <c r="T28" s="79" t="s">
        <v>78</v>
      </c>
      <c r="U28" s="503"/>
    </row>
    <row r="29" customFormat="false" ht="14.25" hidden="false" customHeight="false" outlineLevel="0" collapsed="false">
      <c r="A29" s="503"/>
      <c r="B29" s="504"/>
      <c r="C29" s="524"/>
      <c r="D29" s="570"/>
      <c r="E29" s="540"/>
      <c r="F29" s="541"/>
      <c r="G29" s="504"/>
      <c r="H29" s="503"/>
      <c r="I29" s="503"/>
      <c r="J29" s="503"/>
      <c r="K29" s="503"/>
      <c r="L29" s="503"/>
      <c r="M29" s="503"/>
      <c r="N29" s="503"/>
      <c r="O29" s="503"/>
      <c r="P29" s="79" t="s">
        <v>179</v>
      </c>
      <c r="Q29" s="78"/>
      <c r="R29" s="78"/>
      <c r="S29" s="79" t="s">
        <v>87</v>
      </c>
      <c r="T29" s="79" t="s">
        <v>79</v>
      </c>
      <c r="U29" s="503"/>
    </row>
    <row r="30" customFormat="false" ht="14.25" hidden="false" customHeight="false" outlineLevel="0" collapsed="false">
      <c r="A30" s="503"/>
      <c r="B30" s="504"/>
      <c r="C30" s="524"/>
      <c r="D30" s="570"/>
      <c r="E30" s="540"/>
      <c r="F30" s="541"/>
      <c r="G30" s="504"/>
      <c r="H30" s="503"/>
      <c r="I30" s="503"/>
      <c r="J30" s="503"/>
      <c r="K30" s="503"/>
      <c r="L30" s="503"/>
      <c r="M30" s="503"/>
      <c r="N30" s="503"/>
      <c r="O30" s="503"/>
      <c r="P30" s="79" t="s">
        <v>180</v>
      </c>
      <c r="Q30" s="78"/>
      <c r="R30" s="78"/>
      <c r="S30" s="79" t="s">
        <v>91</v>
      </c>
      <c r="T30" s="79" t="s">
        <v>81</v>
      </c>
      <c r="U30" s="503"/>
    </row>
    <row r="31" customFormat="false" ht="14.25" hidden="false" customHeight="false" outlineLevel="0" collapsed="false">
      <c r="A31" s="503"/>
      <c r="B31" s="504"/>
      <c r="C31" s="524"/>
      <c r="D31" s="570"/>
      <c r="E31" s="540"/>
      <c r="F31" s="541"/>
      <c r="G31" s="504"/>
      <c r="H31" s="503"/>
      <c r="I31" s="503"/>
      <c r="J31" s="503"/>
      <c r="K31" s="503"/>
      <c r="L31" s="503"/>
      <c r="M31" s="503"/>
      <c r="N31" s="503"/>
      <c r="O31" s="503"/>
      <c r="P31" s="79" t="s">
        <v>181</v>
      </c>
      <c r="Q31" s="78"/>
      <c r="R31" s="78"/>
      <c r="S31" s="78"/>
      <c r="T31" s="79" t="s">
        <v>83</v>
      </c>
      <c r="U31" s="503"/>
    </row>
    <row r="32" customFormat="false" ht="14.25" hidden="false" customHeight="false" outlineLevel="0" collapsed="false">
      <c r="A32" s="503"/>
      <c r="B32" s="504"/>
      <c r="C32" s="524"/>
      <c r="D32" s="570"/>
      <c r="E32" s="540"/>
      <c r="F32" s="541"/>
      <c r="G32" s="504"/>
      <c r="H32" s="527"/>
      <c r="I32" s="527"/>
      <c r="J32" s="527"/>
      <c r="K32" s="527"/>
      <c r="L32" s="527"/>
      <c r="M32" s="527"/>
      <c r="N32" s="527"/>
      <c r="O32" s="527"/>
      <c r="P32" s="79" t="s">
        <v>76</v>
      </c>
      <c r="Q32" s="78"/>
      <c r="R32" s="78"/>
      <c r="S32" s="78"/>
      <c r="T32" s="79" t="s">
        <v>85</v>
      </c>
      <c r="U32" s="503"/>
    </row>
    <row r="33" customFormat="false" ht="14.25" hidden="false" customHeight="false" outlineLevel="0" collapsed="false">
      <c r="A33" s="503"/>
      <c r="B33" s="504"/>
      <c r="C33" s="544"/>
      <c r="D33" s="546" t="s">
        <v>426</v>
      </c>
      <c r="E33" s="547" t="n">
        <f aca="false">SUM(E13:E32)</f>
        <v>0</v>
      </c>
      <c r="F33" s="548" t="n">
        <f aca="false">SUM(F13:F32)</f>
        <v>0</v>
      </c>
      <c r="G33" s="543"/>
      <c r="H33" s="503"/>
      <c r="I33" s="503"/>
      <c r="J33" s="503"/>
      <c r="K33" s="503"/>
      <c r="L33" s="503"/>
      <c r="M33" s="503"/>
      <c r="N33" s="503"/>
      <c r="O33" s="503"/>
      <c r="P33" s="79" t="s">
        <v>78</v>
      </c>
      <c r="Q33" s="78"/>
      <c r="R33" s="78"/>
      <c r="S33" s="78"/>
      <c r="T33" s="79" t="s">
        <v>86</v>
      </c>
      <c r="U33" s="503"/>
    </row>
    <row r="34" customFormat="false" ht="14.25" hidden="false" customHeight="false" outlineLevel="0" collapsed="false">
      <c r="A34" s="542"/>
      <c r="B34" s="504"/>
      <c r="C34" s="550"/>
      <c r="D34" s="552" t="s">
        <v>427</v>
      </c>
      <c r="E34" s="553" t="s">
        <v>428</v>
      </c>
      <c r="F34" s="554" t="s">
        <v>429</v>
      </c>
      <c r="G34" s="504"/>
      <c r="H34" s="542"/>
      <c r="I34" s="542"/>
      <c r="J34" s="542"/>
      <c r="K34" s="542"/>
      <c r="L34" s="542"/>
      <c r="M34" s="542"/>
      <c r="N34" s="542"/>
      <c r="O34" s="542"/>
      <c r="P34" s="79" t="s">
        <v>79</v>
      </c>
      <c r="Q34" s="78"/>
      <c r="R34" s="78"/>
      <c r="S34" s="78"/>
      <c r="T34" s="79" t="s">
        <v>87</v>
      </c>
      <c r="U34" s="542"/>
    </row>
    <row r="35" customFormat="false" ht="14.25" hidden="false" customHeight="false" outlineLevel="0" collapsed="false">
      <c r="A35" s="503"/>
      <c r="B35" s="543"/>
      <c r="C35" s="556"/>
      <c r="D35" s="556"/>
      <c r="E35" s="557"/>
      <c r="F35" s="557"/>
      <c r="G35" s="555"/>
      <c r="H35" s="503"/>
      <c r="I35" s="503"/>
      <c r="J35" s="503"/>
      <c r="K35" s="503"/>
      <c r="L35" s="503"/>
      <c r="M35" s="503"/>
      <c r="N35" s="503"/>
      <c r="O35" s="503"/>
      <c r="P35" s="79" t="s">
        <v>81</v>
      </c>
      <c r="Q35" s="78"/>
      <c r="R35" s="78"/>
      <c r="S35" s="78"/>
      <c r="T35" s="79" t="s">
        <v>89</v>
      </c>
      <c r="U35" s="503"/>
    </row>
    <row r="36" customFormat="false" ht="14.25" hidden="false" customHeight="false" outlineLevel="0" collapsed="false">
      <c r="A36" s="549"/>
      <c r="B36" s="543"/>
      <c r="C36" s="1244" t="s">
        <v>430</v>
      </c>
      <c r="D36" s="1244"/>
      <c r="E36" s="1244"/>
      <c r="F36" s="1244"/>
      <c r="G36" s="555"/>
      <c r="H36" s="549"/>
      <c r="I36" s="549"/>
      <c r="J36" s="549"/>
      <c r="K36" s="549"/>
      <c r="L36" s="549"/>
      <c r="M36" s="549"/>
      <c r="N36" s="549"/>
      <c r="O36" s="549"/>
      <c r="P36" s="79" t="s">
        <v>83</v>
      </c>
      <c r="Q36" s="78"/>
      <c r="R36" s="78"/>
      <c r="S36" s="78"/>
      <c r="T36" s="79" t="s">
        <v>90</v>
      </c>
      <c r="U36" s="549"/>
    </row>
    <row r="37" customFormat="false" ht="14.25" hidden="false" customHeight="false" outlineLevel="0" collapsed="false">
      <c r="A37" s="503"/>
      <c r="B37" s="120"/>
      <c r="C37" s="1244" t="s">
        <v>898</v>
      </c>
      <c r="D37" s="1244"/>
      <c r="E37" s="1244"/>
      <c r="F37" s="1244"/>
      <c r="G37" s="120"/>
      <c r="H37" s="503"/>
      <c r="I37" s="503"/>
      <c r="J37" s="503"/>
      <c r="K37" s="503"/>
      <c r="L37" s="503"/>
      <c r="M37" s="503"/>
      <c r="N37" s="503"/>
      <c r="O37" s="503"/>
      <c r="P37" s="79" t="s">
        <v>85</v>
      </c>
      <c r="Q37" s="78"/>
      <c r="R37" s="78"/>
      <c r="S37" s="78"/>
      <c r="T37" s="79" t="s">
        <v>192</v>
      </c>
      <c r="U37" s="503"/>
    </row>
    <row r="38" customFormat="false" ht="14.25" hidden="false" customHeight="false" outlineLevel="0" collapsed="false">
      <c r="A38" s="503"/>
      <c r="B38" s="504"/>
      <c r="C38" s="1245" t="s">
        <v>432</v>
      </c>
      <c r="D38" s="1245"/>
      <c r="E38" s="1246" t="s">
        <v>424</v>
      </c>
      <c r="F38" s="1247" t="s">
        <v>425</v>
      </c>
      <c r="G38" s="504"/>
      <c r="H38" s="503"/>
      <c r="I38" s="503"/>
      <c r="J38" s="503"/>
      <c r="K38" s="503"/>
      <c r="L38" s="503"/>
      <c r="M38" s="503"/>
      <c r="N38" s="503"/>
      <c r="O38" s="503"/>
      <c r="P38" s="79" t="s">
        <v>86</v>
      </c>
      <c r="Q38" s="78"/>
      <c r="R38" s="78"/>
      <c r="S38" s="78"/>
      <c r="T38" s="79" t="s">
        <v>91</v>
      </c>
      <c r="U38" s="503"/>
    </row>
    <row r="39" customFormat="false" ht="14.25" hidden="false" customHeight="false" outlineLevel="0" collapsed="false">
      <c r="A39" s="503"/>
      <c r="B39" s="504"/>
      <c r="C39" s="567"/>
      <c r="D39" s="567"/>
      <c r="E39" s="540"/>
      <c r="F39" s="541"/>
      <c r="G39" s="504"/>
      <c r="H39" s="503"/>
      <c r="I39" s="503"/>
      <c r="J39" s="503"/>
      <c r="K39" s="503"/>
      <c r="L39" s="503"/>
      <c r="M39" s="503"/>
      <c r="N39" s="503"/>
      <c r="O39" s="503"/>
      <c r="P39" s="79" t="s">
        <v>87</v>
      </c>
      <c r="Q39" s="78"/>
      <c r="R39" s="78"/>
      <c r="S39" s="78"/>
      <c r="T39" s="79"/>
      <c r="U39" s="503"/>
    </row>
    <row r="40" customFormat="false" ht="14.25" hidden="false" customHeight="false" outlineLevel="0" collapsed="false">
      <c r="A40" s="503"/>
      <c r="B40" s="504"/>
      <c r="C40" s="568"/>
      <c r="D40" s="568"/>
      <c r="E40" s="540"/>
      <c r="F40" s="541"/>
      <c r="G40" s="504"/>
      <c r="H40" s="503"/>
      <c r="I40" s="503"/>
      <c r="J40" s="503"/>
      <c r="K40" s="503"/>
      <c r="L40" s="503"/>
      <c r="M40" s="503"/>
      <c r="N40" s="503"/>
      <c r="O40" s="503"/>
      <c r="P40" s="79" t="s">
        <v>89</v>
      </c>
      <c r="Q40" s="78"/>
      <c r="R40" s="78"/>
      <c r="S40" s="78"/>
      <c r="T40" s="78"/>
      <c r="U40" s="503"/>
    </row>
    <row r="41" customFormat="false" ht="14.25" hidden="false" customHeight="false" outlineLevel="0" collapsed="false">
      <c r="A41" s="503"/>
      <c r="B41" s="504"/>
      <c r="C41" s="568"/>
      <c r="D41" s="568"/>
      <c r="E41" s="540"/>
      <c r="F41" s="541"/>
      <c r="G41" s="504"/>
      <c r="H41" s="503"/>
      <c r="I41" s="503"/>
      <c r="J41" s="503"/>
      <c r="K41" s="503"/>
      <c r="L41" s="503"/>
      <c r="M41" s="503"/>
      <c r="N41" s="503"/>
      <c r="O41" s="503"/>
      <c r="P41" s="79" t="s">
        <v>90</v>
      </c>
      <c r="Q41" s="78"/>
      <c r="R41" s="78"/>
      <c r="S41" s="78"/>
      <c r="T41" s="117"/>
      <c r="U41" s="503"/>
    </row>
    <row r="42" customFormat="false" ht="14.25" hidden="false" customHeight="false" outlineLevel="0" collapsed="false">
      <c r="A42" s="542"/>
      <c r="B42" s="504"/>
      <c r="C42" s="568"/>
      <c r="D42" s="568"/>
      <c r="E42" s="540"/>
      <c r="F42" s="541"/>
      <c r="G42" s="504"/>
      <c r="H42" s="542"/>
      <c r="I42" s="542"/>
      <c r="J42" s="542"/>
      <c r="K42" s="542"/>
      <c r="L42" s="542"/>
      <c r="M42" s="542"/>
      <c r="N42" s="542"/>
      <c r="O42" s="542"/>
      <c r="P42" s="79" t="s">
        <v>192</v>
      </c>
      <c r="Q42" s="78"/>
      <c r="R42" s="78"/>
      <c r="S42" s="78"/>
      <c r="T42" s="78"/>
      <c r="U42" s="542"/>
    </row>
    <row r="43" customFormat="false" ht="14.25" hidden="false" customHeight="false" outlineLevel="0" collapsed="false">
      <c r="A43" s="503"/>
      <c r="B43" s="504"/>
      <c r="C43" s="1248"/>
      <c r="D43" s="1248"/>
      <c r="E43" s="540"/>
      <c r="F43" s="541"/>
      <c r="G43" s="504"/>
      <c r="H43" s="503"/>
      <c r="I43" s="503"/>
      <c r="J43" s="503"/>
      <c r="K43" s="503"/>
      <c r="L43" s="503"/>
      <c r="M43" s="503"/>
      <c r="N43" s="503"/>
      <c r="O43" s="503"/>
      <c r="P43" s="79" t="s">
        <v>91</v>
      </c>
      <c r="Q43" s="78"/>
      <c r="R43" s="78"/>
      <c r="S43" s="78"/>
      <c r="T43" s="78"/>
      <c r="U43" s="503"/>
    </row>
    <row r="44" customFormat="false" ht="14.25" hidden="false" customHeight="false" outlineLevel="0" collapsed="false">
      <c r="A44" s="503"/>
      <c r="B44" s="504"/>
      <c r="C44" s="544"/>
      <c r="D44" s="546" t="s">
        <v>426</v>
      </c>
      <c r="E44" s="547" t="n">
        <f aca="false">SUM(E39:E43)</f>
        <v>0</v>
      </c>
      <c r="F44" s="548" t="n">
        <f aca="false">SUM(F39:F43)</f>
        <v>0</v>
      </c>
      <c r="G44" s="543"/>
      <c r="H44" s="503"/>
      <c r="I44" s="503"/>
      <c r="J44" s="503"/>
      <c r="K44" s="503"/>
      <c r="L44" s="503"/>
      <c r="M44" s="503"/>
      <c r="N44" s="503"/>
      <c r="O44" s="503"/>
      <c r="P44" s="78"/>
      <c r="Q44" s="78"/>
      <c r="R44" s="78"/>
      <c r="S44" s="78"/>
      <c r="T44" s="78"/>
      <c r="U44" s="503"/>
    </row>
    <row r="45" customFormat="false" ht="14.25" hidden="false" customHeight="false" outlineLevel="0" collapsed="false">
      <c r="A45" s="503"/>
      <c r="B45" s="504"/>
      <c r="C45" s="550"/>
      <c r="D45" s="552" t="s">
        <v>427</v>
      </c>
      <c r="E45" s="553" t="s">
        <v>434</v>
      </c>
      <c r="F45" s="554" t="s">
        <v>435</v>
      </c>
      <c r="G45" s="504"/>
      <c r="H45" s="503"/>
      <c r="I45" s="503"/>
      <c r="J45" s="503"/>
      <c r="K45" s="503"/>
      <c r="L45" s="503"/>
      <c r="M45" s="503"/>
      <c r="N45" s="503"/>
      <c r="O45" s="503"/>
      <c r="P45" s="78"/>
      <c r="Q45" s="78"/>
      <c r="R45" s="78"/>
      <c r="S45" s="78"/>
      <c r="T45" s="78"/>
      <c r="U45" s="503"/>
    </row>
    <row r="46" customFormat="false" ht="14.25" hidden="false" customHeight="false" outlineLevel="0" collapsed="false">
      <c r="A46" s="503"/>
      <c r="B46" s="543"/>
      <c r="C46" s="556"/>
      <c r="D46" s="556"/>
      <c r="E46" s="557"/>
      <c r="F46" s="557"/>
      <c r="G46" s="555"/>
      <c r="H46" s="503"/>
      <c r="I46" s="503"/>
      <c r="J46" s="503"/>
      <c r="K46" s="503"/>
      <c r="L46" s="503"/>
      <c r="M46" s="503"/>
      <c r="N46" s="503"/>
      <c r="O46" s="503"/>
      <c r="Q46" s="78"/>
      <c r="R46" s="78"/>
      <c r="S46" s="78"/>
      <c r="T46" s="78"/>
      <c r="U46" s="503"/>
    </row>
    <row r="47" customFormat="false" ht="14.25" hidden="false" customHeight="false" outlineLevel="0" collapsed="false">
      <c r="A47" s="503"/>
      <c r="B47" s="120"/>
      <c r="C47" s="1249" t="s">
        <v>436</v>
      </c>
      <c r="D47" s="1249"/>
      <c r="E47" s="1249"/>
      <c r="F47" s="1249"/>
      <c r="G47" s="120"/>
      <c r="H47" s="503"/>
      <c r="I47" s="503"/>
      <c r="J47" s="503"/>
      <c r="K47" s="503"/>
      <c r="L47" s="503"/>
      <c r="M47" s="503"/>
      <c r="N47" s="503"/>
      <c r="O47" s="503"/>
      <c r="Q47" s="78"/>
      <c r="R47" s="78"/>
      <c r="S47" s="78"/>
      <c r="T47" s="78"/>
      <c r="U47" s="503"/>
    </row>
    <row r="48" customFormat="false" ht="14.25" hidden="false" customHeight="false" outlineLevel="0" collapsed="false">
      <c r="A48" s="503"/>
      <c r="B48" s="120"/>
      <c r="C48" s="1250" t="s">
        <v>437</v>
      </c>
      <c r="D48" s="194"/>
      <c r="E48" s="194"/>
      <c r="F48" s="194"/>
      <c r="G48" s="120"/>
      <c r="H48" s="503"/>
      <c r="I48" s="503"/>
      <c r="J48" s="503"/>
      <c r="K48" s="503"/>
      <c r="L48" s="503"/>
      <c r="M48" s="503"/>
      <c r="N48" s="503"/>
      <c r="O48" s="503"/>
      <c r="S48" s="78"/>
      <c r="U48" s="503"/>
    </row>
    <row r="49" customFormat="false" ht="14.25" hidden="false" customHeight="false" outlineLevel="0" collapsed="false">
      <c r="A49" s="542"/>
      <c r="B49" s="504"/>
      <c r="C49" s="1245" t="s">
        <v>438</v>
      </c>
      <c r="D49" s="1245"/>
      <c r="E49" s="1246" t="s">
        <v>424</v>
      </c>
      <c r="F49" s="1247" t="s">
        <v>425</v>
      </c>
      <c r="G49" s="504"/>
      <c r="H49" s="542"/>
      <c r="I49" s="542"/>
      <c r="J49" s="542"/>
      <c r="K49" s="542"/>
      <c r="L49" s="542"/>
      <c r="M49" s="542"/>
      <c r="N49" s="542"/>
      <c r="O49" s="542"/>
      <c r="S49" s="78"/>
      <c r="U49" s="542"/>
    </row>
    <row r="50" customFormat="false" ht="14.25" hidden="false" customHeight="false" outlineLevel="0" collapsed="false">
      <c r="A50" s="503"/>
      <c r="B50" s="555"/>
      <c r="C50" s="567"/>
      <c r="D50" s="567"/>
      <c r="E50" s="540"/>
      <c r="F50" s="541"/>
      <c r="G50" s="504"/>
      <c r="H50" s="503"/>
      <c r="I50" s="503"/>
      <c r="J50" s="503"/>
      <c r="K50" s="503"/>
      <c r="L50" s="503"/>
      <c r="M50" s="503"/>
      <c r="N50" s="503"/>
      <c r="O50" s="503"/>
      <c r="U50" s="503"/>
    </row>
    <row r="51" customFormat="false" ht="14.25" hidden="false" customHeight="false" outlineLevel="0" collapsed="false">
      <c r="A51" s="503"/>
      <c r="B51" s="504"/>
      <c r="C51" s="568"/>
      <c r="D51" s="568"/>
      <c r="E51" s="540"/>
      <c r="F51" s="541"/>
      <c r="G51" s="504"/>
      <c r="H51" s="503"/>
      <c r="I51" s="503"/>
      <c r="J51" s="503"/>
      <c r="K51" s="503"/>
      <c r="L51" s="503"/>
      <c r="M51" s="503"/>
      <c r="N51" s="503"/>
      <c r="O51" s="503"/>
      <c r="U51" s="503"/>
    </row>
    <row r="52" customFormat="false" ht="14.25" hidden="false" customHeight="false" outlineLevel="0" collapsed="false">
      <c r="A52" s="503"/>
      <c r="B52" s="504"/>
      <c r="C52" s="568"/>
      <c r="D52" s="568"/>
      <c r="E52" s="540"/>
      <c r="F52" s="541"/>
      <c r="G52" s="504"/>
      <c r="H52" s="503"/>
      <c r="I52" s="503"/>
      <c r="J52" s="503"/>
      <c r="K52" s="503"/>
      <c r="L52" s="503"/>
      <c r="M52" s="503"/>
      <c r="N52" s="503"/>
      <c r="O52" s="503"/>
      <c r="U52" s="503"/>
    </row>
    <row r="53" customFormat="false" ht="14.25" hidden="false" customHeight="false" outlineLevel="0" collapsed="false">
      <c r="A53" s="503"/>
      <c r="B53" s="504"/>
      <c r="C53" s="568"/>
      <c r="D53" s="568"/>
      <c r="E53" s="540"/>
      <c r="F53" s="541"/>
      <c r="G53" s="504"/>
      <c r="H53" s="503"/>
      <c r="I53" s="503"/>
      <c r="J53" s="503"/>
      <c r="K53" s="503"/>
      <c r="L53" s="503"/>
      <c r="M53" s="503"/>
      <c r="N53" s="503"/>
      <c r="O53" s="503"/>
      <c r="U53" s="503"/>
    </row>
    <row r="54" customFormat="false" ht="14.25" hidden="false" customHeight="false" outlineLevel="0" collapsed="false">
      <c r="A54" s="503"/>
      <c r="B54" s="504"/>
      <c r="C54" s="568"/>
      <c r="D54" s="568"/>
      <c r="E54" s="540"/>
      <c r="F54" s="541"/>
      <c r="G54" s="504"/>
      <c r="H54" s="503"/>
      <c r="I54" s="503"/>
      <c r="J54" s="503"/>
      <c r="K54" s="503"/>
      <c r="L54" s="503"/>
      <c r="M54" s="503"/>
      <c r="N54" s="503"/>
      <c r="O54" s="503"/>
      <c r="U54" s="503"/>
    </row>
    <row r="55" customFormat="false" ht="14.25" hidden="false" customHeight="false" outlineLevel="0" collapsed="false">
      <c r="A55" s="503"/>
      <c r="B55" s="504"/>
      <c r="C55" s="568"/>
      <c r="D55" s="568"/>
      <c r="E55" s="540"/>
      <c r="F55" s="541"/>
      <c r="G55" s="504"/>
      <c r="H55" s="503"/>
      <c r="I55" s="503"/>
      <c r="J55" s="503"/>
      <c r="K55" s="503"/>
      <c r="L55" s="503"/>
      <c r="M55" s="503"/>
      <c r="N55" s="503"/>
      <c r="O55" s="503"/>
      <c r="U55" s="503"/>
    </row>
    <row r="56" customFormat="false" ht="14.25" hidden="false" customHeight="false" outlineLevel="0" collapsed="false">
      <c r="A56" s="503"/>
      <c r="B56" s="504"/>
      <c r="C56" s="568"/>
      <c r="D56" s="568"/>
      <c r="E56" s="540"/>
      <c r="F56" s="541"/>
      <c r="G56" s="504"/>
      <c r="H56" s="503"/>
      <c r="I56" s="503"/>
      <c r="J56" s="503"/>
      <c r="K56" s="503"/>
      <c r="L56" s="503"/>
      <c r="M56" s="503"/>
      <c r="N56" s="503"/>
      <c r="O56" s="503"/>
      <c r="U56" s="503"/>
    </row>
    <row r="57" customFormat="false" ht="14.25" hidden="false" customHeight="false" outlineLevel="0" collapsed="false">
      <c r="A57" s="503"/>
      <c r="B57" s="504"/>
      <c r="C57" s="568"/>
      <c r="D57" s="568"/>
      <c r="E57" s="540"/>
      <c r="F57" s="541"/>
      <c r="G57" s="504"/>
      <c r="H57" s="503"/>
      <c r="I57" s="503"/>
      <c r="J57" s="503"/>
      <c r="K57" s="503"/>
      <c r="L57" s="503"/>
      <c r="M57" s="503"/>
      <c r="N57" s="503"/>
      <c r="O57" s="503"/>
      <c r="U57" s="503"/>
    </row>
    <row r="58" customFormat="false" ht="14.25" hidden="false" customHeight="false" outlineLevel="0" collapsed="false">
      <c r="A58" s="503"/>
      <c r="B58" s="504"/>
      <c r="C58" s="544"/>
      <c r="D58" s="546" t="s">
        <v>426</v>
      </c>
      <c r="E58" s="547" t="n">
        <f aca="false">SUM(E50:E57)</f>
        <v>0</v>
      </c>
      <c r="F58" s="548" t="n">
        <f aca="false">SUM(F50:F57)</f>
        <v>0</v>
      </c>
      <c r="G58" s="543"/>
      <c r="H58" s="503"/>
      <c r="I58" s="503"/>
      <c r="J58" s="503"/>
      <c r="K58" s="503"/>
      <c r="L58" s="503"/>
      <c r="M58" s="503"/>
      <c r="N58" s="503"/>
      <c r="O58" s="503"/>
      <c r="U58" s="503"/>
    </row>
    <row r="59" customFormat="false" ht="14.25" hidden="false" customHeight="false" outlineLevel="0" collapsed="false">
      <c r="A59" s="503"/>
      <c r="B59" s="504"/>
      <c r="C59" s="550"/>
      <c r="D59" s="552" t="s">
        <v>427</v>
      </c>
      <c r="E59" s="553" t="s">
        <v>439</v>
      </c>
      <c r="F59" s="554" t="s">
        <v>440</v>
      </c>
      <c r="G59" s="504"/>
      <c r="H59" s="503"/>
      <c r="I59" s="503"/>
      <c r="J59" s="503"/>
      <c r="K59" s="503"/>
      <c r="L59" s="503"/>
      <c r="M59" s="503"/>
      <c r="N59" s="503"/>
      <c r="O59" s="503"/>
      <c r="U59" s="503"/>
    </row>
    <row r="60" customFormat="false" ht="14.25" hidden="false" customHeight="false" outlineLevel="0" collapsed="false">
      <c r="A60" s="503"/>
      <c r="B60" s="504"/>
      <c r="C60" s="562" t="s">
        <v>284</v>
      </c>
      <c r="D60" s="562"/>
      <c r="E60" s="562"/>
      <c r="F60" s="562"/>
      <c r="G60" s="504"/>
      <c r="H60" s="503"/>
      <c r="I60" s="503"/>
      <c r="J60" s="503"/>
      <c r="K60" s="503"/>
      <c r="L60" s="503"/>
      <c r="M60" s="503"/>
      <c r="N60" s="503"/>
      <c r="O60" s="503"/>
      <c r="U60" s="503"/>
    </row>
    <row r="61" customFormat="false" ht="14.25" hidden="false" customHeight="false" outlineLevel="0" collapsed="false">
      <c r="A61" s="503"/>
      <c r="B61" s="504"/>
      <c r="C61" s="563" t="s">
        <v>899</v>
      </c>
      <c r="D61" s="563"/>
      <c r="E61" s="563"/>
      <c r="F61" s="563"/>
      <c r="G61" s="504"/>
      <c r="H61" s="503"/>
      <c r="I61" s="503"/>
      <c r="J61" s="503"/>
      <c r="K61" s="503"/>
      <c r="L61" s="503"/>
      <c r="M61" s="503"/>
      <c r="N61" s="503"/>
      <c r="O61" s="503"/>
      <c r="U61" s="503"/>
    </row>
    <row r="62" customFormat="false" ht="14.25" hidden="false" customHeight="false" outlineLevel="0" collapsed="false">
      <c r="A62" s="503"/>
      <c r="B62" s="503"/>
      <c r="C62" s="503"/>
      <c r="D62" s="503"/>
      <c r="E62" s="503"/>
      <c r="F62" s="503"/>
      <c r="G62" s="503"/>
      <c r="H62" s="503"/>
      <c r="I62" s="503"/>
      <c r="J62" s="503"/>
      <c r="K62" s="503"/>
      <c r="L62" s="503"/>
      <c r="M62" s="503"/>
      <c r="N62" s="503"/>
      <c r="O62" s="503"/>
      <c r="U62" s="503"/>
    </row>
    <row r="63" customFormat="false" ht="14.25" hidden="false" customHeight="false" outlineLevel="0" collapsed="false">
      <c r="A63" s="503"/>
      <c r="B63" s="503"/>
      <c r="C63" s="503"/>
      <c r="D63" s="503"/>
      <c r="E63" s="503"/>
      <c r="F63" s="503"/>
      <c r="G63" s="503"/>
      <c r="H63" s="503"/>
      <c r="I63" s="503"/>
      <c r="J63" s="503"/>
      <c r="K63" s="503"/>
      <c r="L63" s="503"/>
      <c r="M63" s="503"/>
      <c r="N63" s="503"/>
      <c r="O63" s="503"/>
      <c r="U63" s="503"/>
    </row>
    <row r="64" customFormat="false" ht="14.25" hidden="false" customHeight="false" outlineLevel="0" collapsed="false">
      <c r="A64" s="503"/>
      <c r="B64" s="503"/>
      <c r="C64" s="503"/>
      <c r="D64" s="503"/>
      <c r="E64" s="503"/>
      <c r="F64" s="503"/>
      <c r="G64" s="503"/>
      <c r="H64" s="503"/>
      <c r="I64" s="503"/>
      <c r="J64" s="503"/>
      <c r="K64" s="503"/>
      <c r="L64" s="503"/>
      <c r="M64" s="503"/>
      <c r="N64" s="503"/>
      <c r="O64" s="503"/>
      <c r="U64" s="503"/>
    </row>
    <row r="65" customFormat="false" ht="14.25" hidden="false" customHeight="false" outlineLevel="0" collapsed="false">
      <c r="A65" s="503"/>
      <c r="B65" s="503"/>
      <c r="C65" s="503"/>
      <c r="D65" s="503"/>
      <c r="E65" s="503"/>
      <c r="F65" s="503"/>
      <c r="G65" s="503"/>
      <c r="H65" s="503"/>
      <c r="I65" s="503"/>
      <c r="J65" s="503"/>
      <c r="K65" s="503"/>
      <c r="L65" s="503"/>
      <c r="M65" s="503"/>
      <c r="N65" s="503"/>
      <c r="O65" s="503"/>
      <c r="U65" s="503"/>
    </row>
    <row r="66" customFormat="false" ht="14.25" hidden="false" customHeight="false" outlineLevel="0" collapsed="false">
      <c r="A66" s="503"/>
      <c r="B66" s="503"/>
      <c r="C66" s="503"/>
      <c r="D66" s="503"/>
      <c r="E66" s="503"/>
      <c r="F66" s="503"/>
      <c r="G66" s="503"/>
      <c r="H66" s="503"/>
      <c r="I66" s="503"/>
      <c r="J66" s="503"/>
      <c r="K66" s="503"/>
      <c r="L66" s="503"/>
      <c r="M66" s="503"/>
      <c r="N66" s="503"/>
      <c r="O66" s="503"/>
      <c r="U66" s="503"/>
    </row>
  </sheetData>
  <sheetProtection algorithmName="SHA-512" hashValue="obz+fzj9xiAHvmKSMoykizYH6lb0rNHue6X5h6M9zoz1ItSpsWWVSQrpH3x29hmZq9LQCH5AclV3pCJsvnoB9g==" saltValue="IzCxoYcDOwkSdd0Attkg9A==" spinCount="100000" sheet="true" objects="true" scenarios="true"/>
  <mergeCells count="26">
    <mergeCell ref="C3:F3"/>
    <mergeCell ref="C4:F4"/>
    <mergeCell ref="C6:F6"/>
    <mergeCell ref="C8:F8"/>
    <mergeCell ref="C10:F10"/>
    <mergeCell ref="C11:F11"/>
    <mergeCell ref="C36:F36"/>
    <mergeCell ref="C37:F37"/>
    <mergeCell ref="C38:D38"/>
    <mergeCell ref="C39:D39"/>
    <mergeCell ref="C40:D40"/>
    <mergeCell ref="C41:D41"/>
    <mergeCell ref="C42:D42"/>
    <mergeCell ref="C43:D43"/>
    <mergeCell ref="C47:F47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60:F60"/>
    <mergeCell ref="C61:F61"/>
  </mergeCells>
  <dataValidations count="2">
    <dataValidation allowBlank="true" error="Enter a dollar amount greater than zero." errorStyle="stop" operator="greaterThanOrEqual" showDropDown="false" showErrorMessage="true" showInputMessage="true" sqref="E43:F43 E57:F57" type="none">
      <formula1>0</formula1>
      <formula2>0</formula2>
    </dataValidation>
    <dataValidation allowBlank="true" error="Enter a dollar amount greater than zero." errorStyle="stop" operator="greaterThanOrEqual" showDropDown="false" showErrorMessage="true" showInputMessage="true" sqref="A1 E13:F32 E39:F42 E50:F56" type="decimal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6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2890625" defaultRowHeight="12.75" customHeight="true" zeroHeight="false" outlineLevelRow="0" outlineLevelCol="0"/>
  <cols>
    <col collapsed="false" customWidth="true" hidden="false" outlineLevel="0" max="2" min="1" style="1" width="3.62"/>
    <col collapsed="false" customWidth="true" hidden="false" outlineLevel="0" max="4" min="3" style="1" width="35.62"/>
    <col collapsed="false" customWidth="true" hidden="false" outlineLevel="0" max="6" min="5" style="1" width="18.62"/>
    <col collapsed="false" customWidth="true" hidden="false" outlineLevel="0" max="8" min="7" style="1" width="3.62"/>
    <col collapsed="false" customWidth="true" hidden="true" outlineLevel="0" max="15" min="9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2.75" hidden="false" customHeight="true" outlineLevel="0" collapsed="false">
      <c r="A1" s="502"/>
      <c r="B1" s="503"/>
      <c r="C1" s="503"/>
      <c r="D1" s="503"/>
      <c r="E1" s="503"/>
      <c r="F1" s="503"/>
      <c r="G1" s="503"/>
      <c r="H1" s="503"/>
      <c r="I1" s="503"/>
      <c r="J1" s="503"/>
      <c r="K1" s="503"/>
      <c r="L1" s="503"/>
      <c r="M1" s="503"/>
      <c r="N1" s="503"/>
      <c r="O1" s="50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503"/>
    </row>
    <row r="2" customFormat="false" ht="12.75" hidden="false" customHeight="true" outlineLevel="0" collapsed="false">
      <c r="A2" s="503"/>
      <c r="B2" s="504"/>
      <c r="C2" s="81" t="str">
        <f aca="false">Contents!B59</f>
        <v>Version: AS L 6 LARGE locked LOCAL</v>
      </c>
      <c r="D2" s="5"/>
      <c r="E2" s="504"/>
      <c r="F2" s="504"/>
      <c r="G2" s="504"/>
      <c r="H2" s="503"/>
      <c r="I2" s="503"/>
      <c r="J2" s="503"/>
      <c r="K2" s="503"/>
      <c r="L2" s="503"/>
      <c r="M2" s="503"/>
      <c r="N2" s="503"/>
      <c r="O2" s="503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503"/>
    </row>
    <row r="3" customFormat="false" ht="12.75" hidden="false" customHeight="true" outlineLevel="0" collapsed="false">
      <c r="A3" s="505"/>
      <c r="B3" s="506"/>
      <c r="C3" s="507" t="str">
        <f aca="false">Contents!$E$3</f>
        <v>THE SOCIETY FOR CREATIVE ANACHRONISM, INC.</v>
      </c>
      <c r="D3" s="507"/>
      <c r="E3" s="507"/>
      <c r="F3" s="507"/>
      <c r="G3" s="506"/>
      <c r="H3" s="505"/>
      <c r="I3" s="505"/>
      <c r="J3" s="505"/>
      <c r="K3" s="505"/>
      <c r="L3" s="505"/>
      <c r="M3" s="505"/>
      <c r="N3" s="505"/>
      <c r="O3" s="50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505"/>
    </row>
    <row r="4" customFormat="false" ht="12.75" hidden="false" customHeight="true" outlineLevel="0" collapsed="false">
      <c r="A4" s="503"/>
      <c r="B4" s="506"/>
      <c r="C4" s="507" t="str">
        <f aca="false">Contents!$E$4</f>
        <v>FINANCIAL REPORT</v>
      </c>
      <c r="D4" s="507"/>
      <c r="E4" s="507"/>
      <c r="F4" s="507"/>
      <c r="G4" s="506"/>
      <c r="H4" s="505"/>
      <c r="I4" s="503"/>
      <c r="J4" s="503"/>
      <c r="K4" s="503"/>
      <c r="L4" s="503"/>
      <c r="M4" s="503"/>
      <c r="N4" s="503"/>
      <c r="O4" s="50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503"/>
    </row>
    <row r="5" customFormat="false" ht="12.75" hidden="false" customHeight="true" outlineLevel="0" collapsed="false">
      <c r="A5" s="503"/>
      <c r="B5" s="504"/>
      <c r="C5" s="504"/>
      <c r="D5" s="504"/>
      <c r="E5" s="504"/>
      <c r="F5" s="504"/>
      <c r="G5" s="504"/>
      <c r="H5" s="503"/>
      <c r="I5" s="503"/>
      <c r="J5" s="503"/>
      <c r="K5" s="503"/>
      <c r="L5" s="503"/>
      <c r="M5" s="503"/>
      <c r="N5" s="503"/>
      <c r="O5" s="50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503"/>
    </row>
    <row r="6" customFormat="false" ht="12.75" hidden="false" customHeight="true" outlineLevel="0" collapsed="false">
      <c r="A6" s="503"/>
      <c r="B6" s="504"/>
      <c r="C6" s="508" t="str">
        <f aca="false">Contents!B58</f>
        <v>Branch:   SCA, Inc.- Middle Kingdom                                               Period:  1/01/2025             to     12/31/2025            .</v>
      </c>
      <c r="D6" s="508"/>
      <c r="E6" s="508"/>
      <c r="F6" s="508"/>
      <c r="G6" s="504"/>
      <c r="H6" s="503"/>
      <c r="I6" s="503"/>
      <c r="J6" s="503"/>
      <c r="K6" s="503"/>
      <c r="L6" s="503"/>
      <c r="M6" s="503"/>
      <c r="N6" s="503"/>
      <c r="O6" s="503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503"/>
    </row>
    <row r="7" customFormat="false" ht="12.75" hidden="false" customHeight="true" outlineLevel="0" collapsed="false">
      <c r="A7" s="503"/>
      <c r="B7" s="504"/>
      <c r="C7" s="504"/>
      <c r="D7" s="504"/>
      <c r="E7" s="504"/>
      <c r="F7" s="504"/>
      <c r="G7" s="504"/>
      <c r="H7" s="503"/>
      <c r="I7" s="503"/>
      <c r="J7" s="503"/>
      <c r="K7" s="503"/>
      <c r="L7" s="503"/>
      <c r="M7" s="503"/>
      <c r="N7" s="503"/>
      <c r="O7" s="50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503"/>
    </row>
    <row r="8" customFormat="false" ht="18" hidden="false" customHeight="true" outlineLevel="0" collapsed="false">
      <c r="A8" s="503"/>
      <c r="B8" s="504"/>
      <c r="C8" s="509" t="s">
        <v>900</v>
      </c>
      <c r="D8" s="509"/>
      <c r="E8" s="509"/>
      <c r="F8" s="509"/>
      <c r="G8" s="504"/>
      <c r="H8" s="503"/>
      <c r="I8" s="503"/>
      <c r="J8" s="503"/>
      <c r="K8" s="503"/>
      <c r="L8" s="503"/>
      <c r="M8" s="503"/>
      <c r="N8" s="503"/>
      <c r="O8" s="503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503"/>
    </row>
    <row r="9" customFormat="false" ht="12.75" hidden="false" customHeight="true" outlineLevel="0" collapsed="false">
      <c r="A9" s="510"/>
      <c r="B9" s="504"/>
      <c r="C9" s="504"/>
      <c r="D9" s="504"/>
      <c r="E9" s="504"/>
      <c r="F9" s="504"/>
      <c r="G9" s="504"/>
      <c r="H9" s="503"/>
      <c r="I9" s="510"/>
      <c r="J9" s="510"/>
      <c r="K9" s="510"/>
      <c r="L9" s="510"/>
      <c r="M9" s="510"/>
      <c r="N9" s="510"/>
      <c r="O9" s="51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510"/>
    </row>
    <row r="10" customFormat="false" ht="12.75" hidden="false" customHeight="true" outlineLevel="0" collapsed="false">
      <c r="A10" s="119"/>
      <c r="B10" s="504"/>
      <c r="C10" s="1245" t="s">
        <v>448</v>
      </c>
      <c r="D10" s="1245" t="s">
        <v>449</v>
      </c>
      <c r="E10" s="1246" t="s">
        <v>424</v>
      </c>
      <c r="F10" s="1247" t="s">
        <v>425</v>
      </c>
      <c r="G10" s="504"/>
      <c r="H10" s="503"/>
      <c r="I10" s="119"/>
      <c r="J10" s="119"/>
      <c r="K10" s="119"/>
      <c r="L10" s="119"/>
      <c r="M10" s="119"/>
      <c r="N10" s="119"/>
      <c r="O10" s="119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19"/>
    </row>
    <row r="11" customFormat="false" ht="12.75" hidden="false" customHeight="true" outlineLevel="0" collapsed="false">
      <c r="A11" s="119"/>
      <c r="B11" s="504"/>
      <c r="C11" s="567"/>
      <c r="D11" s="567"/>
      <c r="E11" s="540"/>
      <c r="F11" s="541"/>
      <c r="G11" s="504"/>
      <c r="H11" s="503"/>
      <c r="I11" s="119"/>
      <c r="J11" s="119"/>
      <c r="K11" s="119"/>
      <c r="L11" s="119"/>
      <c r="M11" s="119"/>
      <c r="N11" s="119"/>
      <c r="O11" s="119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19"/>
    </row>
    <row r="12" customFormat="false" ht="12.75" hidden="false" customHeight="true" outlineLevel="0" collapsed="false">
      <c r="A12" s="119"/>
      <c r="B12" s="504"/>
      <c r="C12" s="568"/>
      <c r="D12" s="568"/>
      <c r="E12" s="540"/>
      <c r="F12" s="541"/>
      <c r="G12" s="504"/>
      <c r="H12" s="503"/>
      <c r="I12" s="119"/>
      <c r="J12" s="119"/>
      <c r="K12" s="119"/>
      <c r="L12" s="119"/>
      <c r="M12" s="119"/>
      <c r="N12" s="119"/>
      <c r="O12" s="119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19"/>
    </row>
    <row r="13" customFormat="false" ht="12.75" hidden="false" customHeight="true" outlineLevel="0" collapsed="false">
      <c r="A13" s="119"/>
      <c r="B13" s="504"/>
      <c r="C13" s="568"/>
      <c r="D13" s="568"/>
      <c r="E13" s="540"/>
      <c r="F13" s="541"/>
      <c r="G13" s="504"/>
      <c r="H13" s="503"/>
      <c r="I13" s="119"/>
      <c r="J13" s="119"/>
      <c r="K13" s="119"/>
      <c r="L13" s="119"/>
      <c r="M13" s="119"/>
      <c r="N13" s="119"/>
      <c r="O13" s="119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19"/>
    </row>
    <row r="14" customFormat="false" ht="12.75" hidden="false" customHeight="true" outlineLevel="0" collapsed="false">
      <c r="A14" s="119"/>
      <c r="B14" s="504"/>
      <c r="C14" s="568"/>
      <c r="D14" s="568"/>
      <c r="E14" s="540"/>
      <c r="F14" s="541"/>
      <c r="G14" s="504"/>
      <c r="H14" s="503"/>
      <c r="I14" s="119"/>
      <c r="J14" s="119"/>
      <c r="K14" s="119"/>
      <c r="L14" s="119"/>
      <c r="M14" s="119"/>
      <c r="N14" s="119"/>
      <c r="O14" s="119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19"/>
    </row>
    <row r="15" customFormat="false" ht="12.75" hidden="false" customHeight="true" outlineLevel="0" collapsed="false">
      <c r="A15" s="119"/>
      <c r="B15" s="504"/>
      <c r="C15" s="568"/>
      <c r="D15" s="568"/>
      <c r="E15" s="540"/>
      <c r="F15" s="541"/>
      <c r="G15" s="504"/>
      <c r="H15" s="503"/>
      <c r="I15" s="119"/>
      <c r="J15" s="119"/>
      <c r="K15" s="119"/>
      <c r="L15" s="119"/>
      <c r="M15" s="119"/>
      <c r="N15" s="119"/>
      <c r="O15" s="119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19"/>
    </row>
    <row r="16" customFormat="false" ht="12.75" hidden="false" customHeight="true" outlineLevel="0" collapsed="false">
      <c r="A16" s="503"/>
      <c r="B16" s="504"/>
      <c r="C16" s="568"/>
      <c r="D16" s="568"/>
      <c r="E16" s="540"/>
      <c r="F16" s="541"/>
      <c r="G16" s="504"/>
      <c r="H16" s="503"/>
      <c r="I16" s="527"/>
      <c r="J16" s="527"/>
      <c r="K16" s="527"/>
      <c r="L16" s="527"/>
      <c r="M16" s="527"/>
      <c r="N16" s="527"/>
      <c r="O16" s="527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503"/>
    </row>
    <row r="17" customFormat="false" ht="12.75" hidden="false" customHeight="true" outlineLevel="0" collapsed="false">
      <c r="A17" s="503"/>
      <c r="B17" s="504"/>
      <c r="C17" s="568"/>
      <c r="D17" s="568"/>
      <c r="E17" s="540"/>
      <c r="F17" s="541"/>
      <c r="G17" s="504"/>
      <c r="H17" s="503"/>
      <c r="I17" s="503"/>
      <c r="J17" s="503"/>
      <c r="K17" s="503"/>
      <c r="L17" s="503"/>
      <c r="M17" s="503"/>
      <c r="N17" s="503"/>
      <c r="O17" s="50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503"/>
    </row>
    <row r="18" customFormat="false" ht="12.75" hidden="false" customHeight="true" outlineLevel="0" collapsed="false">
      <c r="A18" s="503"/>
      <c r="B18" s="504"/>
      <c r="C18" s="568"/>
      <c r="D18" s="568"/>
      <c r="E18" s="540"/>
      <c r="F18" s="541"/>
      <c r="G18" s="504"/>
      <c r="H18" s="503"/>
      <c r="I18" s="503"/>
      <c r="J18" s="503"/>
      <c r="K18" s="503"/>
      <c r="L18" s="503"/>
      <c r="M18" s="503"/>
      <c r="N18" s="503"/>
      <c r="O18" s="503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503"/>
    </row>
    <row r="19" customFormat="false" ht="12.75" hidden="false" customHeight="true" outlineLevel="0" collapsed="false">
      <c r="A19" s="503"/>
      <c r="B19" s="504"/>
      <c r="C19" s="568"/>
      <c r="D19" s="568"/>
      <c r="E19" s="540"/>
      <c r="F19" s="541"/>
      <c r="G19" s="504"/>
      <c r="H19" s="503"/>
      <c r="I19" s="503"/>
      <c r="J19" s="503"/>
      <c r="K19" s="503"/>
      <c r="L19" s="503"/>
      <c r="M19" s="503"/>
      <c r="N19" s="503"/>
      <c r="O19" s="503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503"/>
    </row>
    <row r="20" customFormat="false" ht="12.75" hidden="false" customHeight="true" outlineLevel="0" collapsed="false">
      <c r="A20" s="503"/>
      <c r="B20" s="504"/>
      <c r="C20" s="568"/>
      <c r="D20" s="568"/>
      <c r="E20" s="540"/>
      <c r="F20" s="541"/>
      <c r="G20" s="504"/>
      <c r="H20" s="503"/>
      <c r="I20" s="503"/>
      <c r="J20" s="503"/>
      <c r="K20" s="503"/>
      <c r="L20" s="503"/>
      <c r="M20" s="503"/>
      <c r="N20" s="503"/>
      <c r="O20" s="503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503"/>
    </row>
    <row r="21" customFormat="false" ht="12.75" hidden="false" customHeight="true" outlineLevel="0" collapsed="false">
      <c r="A21" s="503"/>
      <c r="B21" s="504"/>
      <c r="C21" s="568"/>
      <c r="D21" s="568"/>
      <c r="E21" s="540"/>
      <c r="F21" s="541"/>
      <c r="G21" s="504"/>
      <c r="H21" s="503"/>
      <c r="I21" s="503"/>
      <c r="J21" s="503"/>
      <c r="K21" s="503"/>
      <c r="L21" s="503"/>
      <c r="M21" s="503"/>
      <c r="N21" s="503"/>
      <c r="O21" s="503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503"/>
    </row>
    <row r="22" customFormat="false" ht="12.75" hidden="false" customHeight="true" outlineLevel="0" collapsed="false">
      <c r="A22" s="503"/>
      <c r="B22" s="504"/>
      <c r="C22" s="568"/>
      <c r="D22" s="568"/>
      <c r="E22" s="540"/>
      <c r="F22" s="541"/>
      <c r="G22" s="504"/>
      <c r="H22" s="503"/>
      <c r="I22" s="503"/>
      <c r="J22" s="503"/>
      <c r="K22" s="503"/>
      <c r="L22" s="503"/>
      <c r="M22" s="503"/>
      <c r="N22" s="503"/>
      <c r="O22" s="503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503"/>
    </row>
    <row r="23" customFormat="false" ht="12.75" hidden="false" customHeight="true" outlineLevel="0" collapsed="false">
      <c r="A23" s="503"/>
      <c r="B23" s="555"/>
      <c r="C23" s="568"/>
      <c r="D23" s="568"/>
      <c r="E23" s="540"/>
      <c r="F23" s="541"/>
      <c r="G23" s="555"/>
      <c r="H23" s="549"/>
      <c r="I23" s="503"/>
      <c r="J23" s="503"/>
      <c r="K23" s="503"/>
      <c r="L23" s="503"/>
      <c r="M23" s="503"/>
      <c r="N23" s="503"/>
      <c r="O23" s="503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503"/>
    </row>
    <row r="24" customFormat="false" ht="12.75" hidden="false" customHeight="true" outlineLevel="0" collapsed="false">
      <c r="A24" s="503"/>
      <c r="B24" s="504"/>
      <c r="C24" s="568"/>
      <c r="D24" s="568"/>
      <c r="E24" s="540"/>
      <c r="F24" s="541"/>
      <c r="G24" s="504"/>
      <c r="H24" s="503"/>
      <c r="I24" s="503"/>
      <c r="J24" s="503"/>
      <c r="K24" s="503"/>
      <c r="L24" s="503"/>
      <c r="M24" s="503"/>
      <c r="N24" s="503"/>
      <c r="O24" s="503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503"/>
    </row>
    <row r="25" customFormat="false" ht="12.75" hidden="false" customHeight="true" outlineLevel="0" collapsed="false">
      <c r="A25" s="503"/>
      <c r="B25" s="504"/>
      <c r="C25" s="568"/>
      <c r="D25" s="568"/>
      <c r="E25" s="540"/>
      <c r="F25" s="541"/>
      <c r="G25" s="504"/>
      <c r="H25" s="503"/>
      <c r="I25" s="503"/>
      <c r="J25" s="503"/>
      <c r="K25" s="503"/>
      <c r="L25" s="503"/>
      <c r="M25" s="503"/>
      <c r="N25" s="503"/>
      <c r="O25" s="503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503"/>
    </row>
    <row r="26" customFormat="false" ht="12.75" hidden="false" customHeight="true" outlineLevel="0" collapsed="false">
      <c r="A26" s="503"/>
      <c r="B26" s="504"/>
      <c r="C26" s="568"/>
      <c r="D26" s="568"/>
      <c r="E26" s="540"/>
      <c r="F26" s="541"/>
      <c r="G26" s="504"/>
      <c r="H26" s="503"/>
      <c r="I26" s="503"/>
      <c r="J26" s="503"/>
      <c r="K26" s="503"/>
      <c r="L26" s="503"/>
      <c r="M26" s="503"/>
      <c r="N26" s="503"/>
      <c r="O26" s="503"/>
      <c r="P26" s="79" t="s">
        <v>174</v>
      </c>
      <c r="Q26" s="78"/>
      <c r="R26" s="78"/>
      <c r="S26" s="79" t="s">
        <v>83</v>
      </c>
      <c r="T26" s="79" t="s">
        <v>174</v>
      </c>
      <c r="U26" s="503"/>
    </row>
    <row r="27" customFormat="false" ht="12.75" hidden="false" customHeight="true" outlineLevel="0" collapsed="false">
      <c r="A27" s="503"/>
      <c r="B27" s="504"/>
      <c r="C27" s="568"/>
      <c r="D27" s="568"/>
      <c r="E27" s="540"/>
      <c r="F27" s="541"/>
      <c r="G27" s="504"/>
      <c r="H27" s="503"/>
      <c r="I27" s="503"/>
      <c r="J27" s="503"/>
      <c r="K27" s="503"/>
      <c r="L27" s="503"/>
      <c r="M27" s="503"/>
      <c r="N27" s="503"/>
      <c r="O27" s="503"/>
      <c r="P27" s="79" t="s">
        <v>177</v>
      </c>
      <c r="Q27" s="78"/>
      <c r="R27" s="78"/>
      <c r="S27" s="79" t="s">
        <v>85</v>
      </c>
      <c r="T27" s="79" t="s">
        <v>76</v>
      </c>
      <c r="U27" s="503"/>
    </row>
    <row r="28" customFormat="false" ht="12.75" hidden="false" customHeight="true" outlineLevel="0" collapsed="false">
      <c r="A28" s="503"/>
      <c r="B28" s="504"/>
      <c r="C28" s="1248"/>
      <c r="D28" s="1248"/>
      <c r="E28" s="571"/>
      <c r="F28" s="572"/>
      <c r="G28" s="504"/>
      <c r="H28" s="503"/>
      <c r="I28" s="503"/>
      <c r="J28" s="503"/>
      <c r="K28" s="503"/>
      <c r="L28" s="503"/>
      <c r="M28" s="503"/>
      <c r="N28" s="503"/>
      <c r="O28" s="503"/>
      <c r="P28" s="79" t="s">
        <v>178</v>
      </c>
      <c r="Q28" s="78"/>
      <c r="R28" s="78"/>
      <c r="S28" s="79" t="s">
        <v>86</v>
      </c>
      <c r="T28" s="79" t="s">
        <v>78</v>
      </c>
      <c r="U28" s="503"/>
    </row>
    <row r="29" customFormat="false" ht="12.75" hidden="false" customHeight="true" outlineLevel="0" collapsed="false">
      <c r="A29" s="503"/>
      <c r="B29" s="504"/>
      <c r="C29" s="544"/>
      <c r="D29" s="546" t="s">
        <v>426</v>
      </c>
      <c r="E29" s="569" t="n">
        <f aca="false">SUM(E11:E28)</f>
        <v>0</v>
      </c>
      <c r="F29" s="533" t="n">
        <f aca="false">SUM(F11:F28)</f>
        <v>0</v>
      </c>
      <c r="G29" s="504"/>
      <c r="H29" s="503"/>
      <c r="I29" s="503"/>
      <c r="J29" s="503"/>
      <c r="K29" s="503"/>
      <c r="L29" s="503"/>
      <c r="M29" s="503"/>
      <c r="N29" s="503"/>
      <c r="O29" s="503"/>
      <c r="P29" s="79" t="s">
        <v>179</v>
      </c>
      <c r="Q29" s="78"/>
      <c r="R29" s="78"/>
      <c r="S29" s="79" t="s">
        <v>87</v>
      </c>
      <c r="T29" s="79" t="s">
        <v>79</v>
      </c>
      <c r="U29" s="503"/>
    </row>
    <row r="30" customFormat="false" ht="12.75" hidden="false" customHeight="true" outlineLevel="0" collapsed="false">
      <c r="A30" s="503"/>
      <c r="B30" s="504"/>
      <c r="C30" s="550"/>
      <c r="D30" s="552" t="s">
        <v>427</v>
      </c>
      <c r="E30" s="553" t="s">
        <v>450</v>
      </c>
      <c r="F30" s="554" t="s">
        <v>451</v>
      </c>
      <c r="G30" s="504"/>
      <c r="H30" s="503"/>
      <c r="I30" s="503"/>
      <c r="J30" s="503"/>
      <c r="K30" s="503"/>
      <c r="L30" s="503"/>
      <c r="M30" s="503"/>
      <c r="N30" s="503"/>
      <c r="O30" s="503"/>
      <c r="P30" s="79" t="s">
        <v>180</v>
      </c>
      <c r="Q30" s="78"/>
      <c r="R30" s="78"/>
      <c r="S30" s="79" t="s">
        <v>91</v>
      </c>
      <c r="T30" s="79" t="s">
        <v>81</v>
      </c>
      <c r="U30" s="503"/>
    </row>
    <row r="31" customFormat="false" ht="12.75" hidden="false" customHeight="true" outlineLevel="0" collapsed="false">
      <c r="A31" s="503"/>
      <c r="B31" s="543"/>
      <c r="C31" s="543"/>
      <c r="D31" s="543"/>
      <c r="E31" s="557"/>
      <c r="F31" s="557"/>
      <c r="G31" s="543"/>
      <c r="H31" s="542"/>
      <c r="I31" s="503"/>
      <c r="J31" s="503"/>
      <c r="K31" s="503"/>
      <c r="L31" s="503"/>
      <c r="M31" s="503"/>
      <c r="N31" s="503"/>
      <c r="O31" s="503"/>
      <c r="P31" s="79" t="s">
        <v>181</v>
      </c>
      <c r="Q31" s="78"/>
      <c r="R31" s="78"/>
      <c r="S31" s="78"/>
      <c r="T31" s="79" t="s">
        <v>83</v>
      </c>
      <c r="U31" s="503"/>
    </row>
    <row r="32" customFormat="false" ht="12.75" hidden="false" customHeight="true" outlineLevel="0" collapsed="false">
      <c r="A32" s="503"/>
      <c r="B32" s="504"/>
      <c r="C32" s="1245" t="s">
        <v>454</v>
      </c>
      <c r="D32" s="1246" t="s">
        <v>423</v>
      </c>
      <c r="E32" s="1246" t="s">
        <v>424</v>
      </c>
      <c r="F32" s="1247" t="s">
        <v>425</v>
      </c>
      <c r="G32" s="504"/>
      <c r="H32" s="503"/>
      <c r="I32" s="527"/>
      <c r="J32" s="527"/>
      <c r="K32" s="527"/>
      <c r="L32" s="527"/>
      <c r="M32" s="527"/>
      <c r="N32" s="527"/>
      <c r="O32" s="527"/>
      <c r="P32" s="79" t="s">
        <v>76</v>
      </c>
      <c r="Q32" s="78"/>
      <c r="R32" s="78"/>
      <c r="S32" s="78"/>
      <c r="T32" s="79" t="s">
        <v>85</v>
      </c>
      <c r="U32" s="503"/>
    </row>
    <row r="33" customFormat="false" ht="12.75" hidden="false" customHeight="true" outlineLevel="0" collapsed="false">
      <c r="A33" s="503"/>
      <c r="B33" s="504"/>
      <c r="C33" s="521"/>
      <c r="D33" s="570"/>
      <c r="E33" s="540"/>
      <c r="F33" s="541"/>
      <c r="G33" s="504"/>
      <c r="H33" s="503"/>
      <c r="I33" s="503"/>
      <c r="J33" s="503"/>
      <c r="K33" s="503"/>
      <c r="L33" s="503"/>
      <c r="M33" s="503"/>
      <c r="N33" s="503"/>
      <c r="O33" s="503"/>
      <c r="P33" s="79" t="s">
        <v>78</v>
      </c>
      <c r="Q33" s="78"/>
      <c r="R33" s="78"/>
      <c r="S33" s="78"/>
      <c r="T33" s="79" t="s">
        <v>86</v>
      </c>
      <c r="U33" s="503"/>
    </row>
    <row r="34" customFormat="false" ht="12.75" hidden="false" customHeight="true" outlineLevel="0" collapsed="false">
      <c r="A34" s="542"/>
      <c r="B34" s="504"/>
      <c r="C34" s="524"/>
      <c r="D34" s="570"/>
      <c r="E34" s="540"/>
      <c r="F34" s="541"/>
      <c r="G34" s="504"/>
      <c r="H34" s="503"/>
      <c r="I34" s="542"/>
      <c r="J34" s="542"/>
      <c r="K34" s="542"/>
      <c r="L34" s="542"/>
      <c r="M34" s="542"/>
      <c r="N34" s="542"/>
      <c r="O34" s="542"/>
      <c r="P34" s="79" t="s">
        <v>79</v>
      </c>
      <c r="Q34" s="78"/>
      <c r="R34" s="78"/>
      <c r="S34" s="78"/>
      <c r="T34" s="79" t="s">
        <v>87</v>
      </c>
      <c r="U34" s="542"/>
    </row>
    <row r="35" customFormat="false" ht="12.75" hidden="false" customHeight="true" outlineLevel="0" collapsed="false">
      <c r="A35" s="503"/>
      <c r="B35" s="504"/>
      <c r="C35" s="524"/>
      <c r="D35" s="570"/>
      <c r="E35" s="540"/>
      <c r="F35" s="541"/>
      <c r="G35" s="504"/>
      <c r="H35" s="503"/>
      <c r="I35" s="503"/>
      <c r="J35" s="503"/>
      <c r="K35" s="503"/>
      <c r="L35" s="503"/>
      <c r="M35" s="503"/>
      <c r="N35" s="503"/>
      <c r="O35" s="503"/>
      <c r="P35" s="79" t="s">
        <v>81</v>
      </c>
      <c r="Q35" s="78"/>
      <c r="R35" s="78"/>
      <c r="S35" s="78"/>
      <c r="T35" s="79" t="s">
        <v>89</v>
      </c>
      <c r="U35" s="503"/>
    </row>
    <row r="36" customFormat="false" ht="12.75" hidden="false" customHeight="true" outlineLevel="0" collapsed="false">
      <c r="A36" s="549"/>
      <c r="B36" s="504"/>
      <c r="C36" s="524"/>
      <c r="D36" s="570"/>
      <c r="E36" s="540"/>
      <c r="F36" s="541"/>
      <c r="G36" s="504"/>
      <c r="H36" s="503"/>
      <c r="I36" s="549"/>
      <c r="J36" s="549"/>
      <c r="K36" s="549"/>
      <c r="L36" s="549"/>
      <c r="M36" s="549"/>
      <c r="N36" s="549"/>
      <c r="O36" s="549"/>
      <c r="P36" s="79" t="s">
        <v>83</v>
      </c>
      <c r="Q36" s="78"/>
      <c r="R36" s="78"/>
      <c r="S36" s="78"/>
      <c r="T36" s="79" t="s">
        <v>90</v>
      </c>
      <c r="U36" s="549"/>
    </row>
    <row r="37" customFormat="false" ht="12.75" hidden="false" customHeight="true" outlineLevel="0" collapsed="false">
      <c r="A37" s="503"/>
      <c r="B37" s="504"/>
      <c r="C37" s="524"/>
      <c r="D37" s="570"/>
      <c r="E37" s="540"/>
      <c r="F37" s="541"/>
      <c r="G37" s="504"/>
      <c r="H37" s="503"/>
      <c r="I37" s="503"/>
      <c r="J37" s="503"/>
      <c r="K37" s="503"/>
      <c r="L37" s="503"/>
      <c r="M37" s="503"/>
      <c r="N37" s="503"/>
      <c r="O37" s="503"/>
      <c r="P37" s="79" t="s">
        <v>85</v>
      </c>
      <c r="Q37" s="78"/>
      <c r="R37" s="78"/>
      <c r="S37" s="78"/>
      <c r="T37" s="79" t="s">
        <v>192</v>
      </c>
      <c r="U37" s="503"/>
    </row>
    <row r="38" customFormat="false" ht="12.75" hidden="false" customHeight="true" outlineLevel="0" collapsed="false">
      <c r="A38" s="503"/>
      <c r="B38" s="504"/>
      <c r="C38" s="524"/>
      <c r="D38" s="570"/>
      <c r="E38" s="540"/>
      <c r="F38" s="541"/>
      <c r="G38" s="504"/>
      <c r="H38" s="503"/>
      <c r="I38" s="503"/>
      <c r="J38" s="503"/>
      <c r="K38" s="503"/>
      <c r="L38" s="503"/>
      <c r="M38" s="503"/>
      <c r="N38" s="503"/>
      <c r="O38" s="503"/>
      <c r="P38" s="79" t="s">
        <v>86</v>
      </c>
      <c r="Q38" s="78"/>
      <c r="R38" s="78"/>
      <c r="S38" s="78"/>
      <c r="T38" s="79" t="s">
        <v>91</v>
      </c>
      <c r="U38" s="503"/>
    </row>
    <row r="39" customFormat="false" ht="12.75" hidden="false" customHeight="true" outlineLevel="0" collapsed="false">
      <c r="A39" s="503"/>
      <c r="B39" s="504"/>
      <c r="C39" s="524"/>
      <c r="D39" s="570"/>
      <c r="E39" s="540"/>
      <c r="F39" s="541"/>
      <c r="G39" s="504"/>
      <c r="H39" s="503"/>
      <c r="I39" s="503"/>
      <c r="J39" s="503"/>
      <c r="K39" s="503"/>
      <c r="L39" s="503"/>
      <c r="M39" s="503"/>
      <c r="N39" s="503"/>
      <c r="O39" s="503"/>
      <c r="P39" s="79" t="s">
        <v>87</v>
      </c>
      <c r="Q39" s="78"/>
      <c r="R39" s="78"/>
      <c r="S39" s="78"/>
      <c r="T39" s="79"/>
      <c r="U39" s="503"/>
    </row>
    <row r="40" customFormat="false" ht="12.75" hidden="false" customHeight="true" outlineLevel="0" collapsed="false">
      <c r="A40" s="503"/>
      <c r="B40" s="504"/>
      <c r="C40" s="524"/>
      <c r="D40" s="570"/>
      <c r="E40" s="540"/>
      <c r="F40" s="541"/>
      <c r="G40" s="504"/>
      <c r="H40" s="503"/>
      <c r="I40" s="503"/>
      <c r="J40" s="503"/>
      <c r="K40" s="503"/>
      <c r="L40" s="503"/>
      <c r="M40" s="503"/>
      <c r="N40" s="503"/>
      <c r="O40" s="503"/>
      <c r="P40" s="79" t="s">
        <v>89</v>
      </c>
      <c r="Q40" s="78"/>
      <c r="R40" s="78"/>
      <c r="S40" s="78"/>
      <c r="T40" s="78"/>
      <c r="U40" s="503"/>
    </row>
    <row r="41" customFormat="false" ht="12.75" hidden="false" customHeight="true" outlineLevel="0" collapsed="false">
      <c r="A41" s="503"/>
      <c r="B41" s="504"/>
      <c r="C41" s="524"/>
      <c r="D41" s="570"/>
      <c r="E41" s="540"/>
      <c r="F41" s="541"/>
      <c r="G41" s="504"/>
      <c r="H41" s="503"/>
      <c r="I41" s="503"/>
      <c r="J41" s="503"/>
      <c r="K41" s="503"/>
      <c r="L41" s="503"/>
      <c r="M41" s="503"/>
      <c r="N41" s="503"/>
      <c r="O41" s="503"/>
      <c r="P41" s="79" t="s">
        <v>90</v>
      </c>
      <c r="Q41" s="78"/>
      <c r="R41" s="78"/>
      <c r="S41" s="78"/>
      <c r="T41" s="117"/>
      <c r="U41" s="503"/>
    </row>
    <row r="42" customFormat="false" ht="12.75" hidden="false" customHeight="true" outlineLevel="0" collapsed="false">
      <c r="A42" s="542"/>
      <c r="B42" s="504"/>
      <c r="C42" s="524"/>
      <c r="D42" s="570"/>
      <c r="E42" s="540"/>
      <c r="F42" s="541"/>
      <c r="G42" s="504"/>
      <c r="H42" s="503"/>
      <c r="I42" s="542"/>
      <c r="J42" s="542"/>
      <c r="K42" s="542"/>
      <c r="L42" s="542"/>
      <c r="M42" s="542"/>
      <c r="N42" s="542"/>
      <c r="O42" s="542"/>
      <c r="P42" s="79" t="s">
        <v>192</v>
      </c>
      <c r="Q42" s="78"/>
      <c r="R42" s="78"/>
      <c r="S42" s="78"/>
      <c r="T42" s="78"/>
      <c r="U42" s="542"/>
    </row>
    <row r="43" customFormat="false" ht="12.75" hidden="false" customHeight="true" outlineLevel="0" collapsed="false">
      <c r="A43" s="503"/>
      <c r="B43" s="504"/>
      <c r="C43" s="524"/>
      <c r="D43" s="570"/>
      <c r="E43" s="540"/>
      <c r="F43" s="541"/>
      <c r="G43" s="504"/>
      <c r="H43" s="503"/>
      <c r="I43" s="503"/>
      <c r="J43" s="503"/>
      <c r="K43" s="503"/>
      <c r="L43" s="503"/>
      <c r="M43" s="503"/>
      <c r="N43" s="503"/>
      <c r="O43" s="503"/>
      <c r="P43" s="79" t="s">
        <v>91</v>
      </c>
      <c r="Q43" s="78"/>
      <c r="R43" s="78"/>
      <c r="S43" s="78"/>
      <c r="T43" s="78"/>
      <c r="U43" s="503"/>
    </row>
    <row r="44" customFormat="false" ht="12.75" hidden="false" customHeight="true" outlineLevel="0" collapsed="false">
      <c r="A44" s="503"/>
      <c r="B44" s="504"/>
      <c r="C44" s="524"/>
      <c r="D44" s="570"/>
      <c r="E44" s="540"/>
      <c r="F44" s="541"/>
      <c r="G44" s="504"/>
      <c r="H44" s="503"/>
      <c r="I44" s="503"/>
      <c r="J44" s="503"/>
      <c r="K44" s="503"/>
      <c r="L44" s="503"/>
      <c r="M44" s="503"/>
      <c r="N44" s="503"/>
      <c r="O44" s="503"/>
      <c r="P44" s="78"/>
      <c r="Q44" s="78"/>
      <c r="R44" s="78"/>
      <c r="S44" s="78"/>
      <c r="T44" s="78"/>
      <c r="U44" s="503"/>
    </row>
    <row r="45" customFormat="false" ht="12.75" hidden="false" customHeight="true" outlineLevel="0" collapsed="false">
      <c r="A45" s="503"/>
      <c r="B45" s="504"/>
      <c r="C45" s="524"/>
      <c r="D45" s="570"/>
      <c r="E45" s="540"/>
      <c r="F45" s="541"/>
      <c r="G45" s="504"/>
      <c r="H45" s="503"/>
      <c r="I45" s="503"/>
      <c r="J45" s="503"/>
      <c r="K45" s="503"/>
      <c r="L45" s="503"/>
      <c r="M45" s="503"/>
      <c r="N45" s="503"/>
      <c r="O45" s="503"/>
      <c r="P45" s="78"/>
      <c r="Q45" s="78"/>
      <c r="R45" s="78"/>
      <c r="S45" s="78"/>
      <c r="T45" s="78"/>
      <c r="U45" s="503"/>
    </row>
    <row r="46" customFormat="false" ht="12.75" hidden="false" customHeight="true" outlineLevel="0" collapsed="false">
      <c r="A46" s="503"/>
      <c r="B46" s="504"/>
      <c r="C46" s="528"/>
      <c r="D46" s="570"/>
      <c r="E46" s="571"/>
      <c r="F46" s="572"/>
      <c r="G46" s="504"/>
      <c r="H46" s="503"/>
      <c r="I46" s="503"/>
      <c r="J46" s="503"/>
      <c r="K46" s="503"/>
      <c r="L46" s="503"/>
      <c r="M46" s="503"/>
      <c r="N46" s="503"/>
      <c r="O46" s="503"/>
      <c r="Q46" s="78"/>
      <c r="R46" s="78"/>
      <c r="S46" s="78"/>
      <c r="T46" s="78"/>
      <c r="U46" s="503"/>
    </row>
    <row r="47" customFormat="false" ht="12.75" hidden="false" customHeight="true" outlineLevel="0" collapsed="false">
      <c r="A47" s="503"/>
      <c r="B47" s="504"/>
      <c r="C47" s="544"/>
      <c r="D47" s="546" t="s">
        <v>426</v>
      </c>
      <c r="E47" s="569" t="n">
        <f aca="false">SUM(E33:E46)</f>
        <v>0</v>
      </c>
      <c r="F47" s="533" t="n">
        <f aca="false">SUM(F33:F46)</f>
        <v>0</v>
      </c>
      <c r="G47" s="504"/>
      <c r="H47" s="503"/>
      <c r="I47" s="503"/>
      <c r="J47" s="503"/>
      <c r="K47" s="503"/>
      <c r="L47" s="503"/>
      <c r="M47" s="503"/>
      <c r="N47" s="503"/>
      <c r="O47" s="503"/>
      <c r="Q47" s="78"/>
      <c r="R47" s="78"/>
      <c r="S47" s="78"/>
      <c r="T47" s="78"/>
      <c r="U47" s="503"/>
    </row>
    <row r="48" customFormat="false" ht="12.75" hidden="false" customHeight="true" outlineLevel="0" collapsed="false">
      <c r="A48" s="503"/>
      <c r="B48" s="504"/>
      <c r="C48" s="550"/>
      <c r="D48" s="552" t="s">
        <v>427</v>
      </c>
      <c r="E48" s="553" t="s">
        <v>455</v>
      </c>
      <c r="F48" s="554" t="s">
        <v>456</v>
      </c>
      <c r="G48" s="504"/>
      <c r="H48" s="503"/>
      <c r="I48" s="503"/>
      <c r="J48" s="503"/>
      <c r="K48" s="503"/>
      <c r="L48" s="503"/>
      <c r="M48" s="503"/>
      <c r="N48" s="503"/>
      <c r="O48" s="503"/>
      <c r="S48" s="78"/>
      <c r="U48" s="503"/>
    </row>
    <row r="49" customFormat="false" ht="12.75" hidden="false" customHeight="true" outlineLevel="0" collapsed="false">
      <c r="A49" s="542"/>
      <c r="B49" s="543"/>
      <c r="C49" s="543"/>
      <c r="D49" s="543"/>
      <c r="E49" s="557"/>
      <c r="F49" s="557"/>
      <c r="G49" s="543"/>
      <c r="H49" s="542"/>
      <c r="I49" s="542"/>
      <c r="J49" s="542"/>
      <c r="K49" s="542"/>
      <c r="L49" s="542"/>
      <c r="M49" s="542"/>
      <c r="N49" s="542"/>
      <c r="O49" s="542"/>
      <c r="S49" s="78"/>
      <c r="U49" s="542"/>
    </row>
    <row r="50" customFormat="false" ht="12.75" hidden="false" customHeight="true" outlineLevel="0" collapsed="false">
      <c r="A50" s="503"/>
      <c r="B50" s="504"/>
      <c r="C50" s="1245" t="s">
        <v>458</v>
      </c>
      <c r="D50" s="1246" t="s">
        <v>423</v>
      </c>
      <c r="E50" s="1246" t="s">
        <v>424</v>
      </c>
      <c r="F50" s="1247" t="s">
        <v>425</v>
      </c>
      <c r="G50" s="504"/>
      <c r="H50" s="503"/>
      <c r="I50" s="503"/>
      <c r="J50" s="503"/>
      <c r="K50" s="503"/>
      <c r="L50" s="503"/>
      <c r="M50" s="503"/>
      <c r="N50" s="503"/>
      <c r="O50" s="503"/>
      <c r="U50" s="503"/>
    </row>
    <row r="51" customFormat="false" ht="12.75" hidden="false" customHeight="true" outlineLevel="0" collapsed="false">
      <c r="A51" s="503"/>
      <c r="B51" s="504"/>
      <c r="C51" s="521"/>
      <c r="D51" s="570"/>
      <c r="E51" s="540"/>
      <c r="F51" s="541"/>
      <c r="G51" s="504"/>
      <c r="H51" s="503"/>
      <c r="I51" s="503"/>
      <c r="J51" s="503"/>
      <c r="K51" s="503"/>
      <c r="L51" s="503"/>
      <c r="M51" s="503"/>
      <c r="N51" s="503"/>
      <c r="O51" s="503"/>
      <c r="U51" s="503"/>
    </row>
    <row r="52" customFormat="false" ht="12.75" hidden="false" customHeight="true" outlineLevel="0" collapsed="false">
      <c r="A52" s="503"/>
      <c r="B52" s="504"/>
      <c r="C52" s="524"/>
      <c r="D52" s="574"/>
      <c r="E52" s="575"/>
      <c r="F52" s="576"/>
      <c r="G52" s="504"/>
      <c r="H52" s="503"/>
      <c r="I52" s="503"/>
      <c r="J52" s="503"/>
      <c r="K52" s="503"/>
      <c r="L52" s="503"/>
      <c r="M52" s="503"/>
      <c r="N52" s="503"/>
      <c r="O52" s="503"/>
      <c r="U52" s="503"/>
    </row>
    <row r="53" customFormat="false" ht="12.75" hidden="false" customHeight="true" outlineLevel="0" collapsed="false">
      <c r="A53" s="503"/>
      <c r="B53" s="504"/>
      <c r="C53" s="524"/>
      <c r="D53" s="574"/>
      <c r="E53" s="575"/>
      <c r="F53" s="576"/>
      <c r="G53" s="504"/>
      <c r="H53" s="503"/>
      <c r="I53" s="503"/>
      <c r="J53" s="503"/>
      <c r="K53" s="503"/>
      <c r="L53" s="503"/>
      <c r="M53" s="503"/>
      <c r="N53" s="503"/>
      <c r="O53" s="503"/>
      <c r="U53" s="503"/>
    </row>
    <row r="54" customFormat="false" ht="12.75" hidden="false" customHeight="true" outlineLevel="0" collapsed="false">
      <c r="A54" s="503"/>
      <c r="B54" s="504"/>
      <c r="C54" s="524"/>
      <c r="D54" s="574"/>
      <c r="E54" s="575"/>
      <c r="F54" s="576"/>
      <c r="G54" s="504"/>
      <c r="H54" s="503"/>
      <c r="I54" s="503"/>
      <c r="J54" s="503"/>
      <c r="K54" s="503"/>
      <c r="L54" s="503"/>
      <c r="M54" s="503"/>
      <c r="N54" s="503"/>
      <c r="O54" s="503"/>
      <c r="U54" s="503"/>
    </row>
    <row r="55" customFormat="false" ht="12.75" hidden="false" customHeight="true" outlineLevel="0" collapsed="false">
      <c r="A55" s="503"/>
      <c r="B55" s="504"/>
      <c r="C55" s="528"/>
      <c r="D55" s="1251"/>
      <c r="E55" s="1252"/>
      <c r="F55" s="1253"/>
      <c r="G55" s="504"/>
      <c r="H55" s="503"/>
      <c r="I55" s="503"/>
      <c r="J55" s="503"/>
      <c r="K55" s="503"/>
      <c r="L55" s="503"/>
      <c r="M55" s="503"/>
      <c r="N55" s="503"/>
      <c r="O55" s="503"/>
      <c r="U55" s="503"/>
    </row>
    <row r="56" customFormat="false" ht="12.75" hidden="false" customHeight="true" outlineLevel="0" collapsed="false">
      <c r="A56" s="503"/>
      <c r="B56" s="504"/>
      <c r="C56" s="544"/>
      <c r="D56" s="546" t="s">
        <v>426</v>
      </c>
      <c r="E56" s="569" t="n">
        <f aca="false">SUM(E51:E55)</f>
        <v>0</v>
      </c>
      <c r="F56" s="533" t="n">
        <f aca="false">SUM(F51:F55)</f>
        <v>0</v>
      </c>
      <c r="G56" s="504"/>
      <c r="H56" s="503"/>
      <c r="I56" s="503"/>
      <c r="J56" s="503"/>
      <c r="K56" s="503"/>
      <c r="L56" s="503"/>
      <c r="M56" s="503"/>
      <c r="N56" s="503"/>
      <c r="O56" s="503"/>
      <c r="U56" s="503"/>
    </row>
    <row r="57" customFormat="false" ht="12.75" hidden="false" customHeight="true" outlineLevel="0" collapsed="false">
      <c r="A57" s="503"/>
      <c r="B57" s="504"/>
      <c r="C57" s="550"/>
      <c r="D57" s="552" t="s">
        <v>427</v>
      </c>
      <c r="E57" s="577" t="s">
        <v>459</v>
      </c>
      <c r="F57" s="578" t="s">
        <v>460</v>
      </c>
      <c r="G57" s="504"/>
      <c r="H57" s="503"/>
      <c r="I57" s="503"/>
      <c r="J57" s="503"/>
      <c r="K57" s="503"/>
      <c r="L57" s="503"/>
      <c r="M57" s="503"/>
      <c r="N57" s="503"/>
      <c r="O57" s="503"/>
      <c r="U57" s="503"/>
    </row>
    <row r="58" customFormat="false" ht="12.75" hidden="false" customHeight="true" outlineLevel="0" collapsed="false">
      <c r="A58" s="503"/>
      <c r="B58" s="504"/>
      <c r="C58" s="562" t="s">
        <v>284</v>
      </c>
      <c r="D58" s="562"/>
      <c r="E58" s="562"/>
      <c r="F58" s="562"/>
      <c r="G58" s="504"/>
      <c r="H58" s="503"/>
      <c r="I58" s="503"/>
      <c r="J58" s="503"/>
      <c r="K58" s="503"/>
      <c r="L58" s="503"/>
      <c r="M58" s="503"/>
      <c r="N58" s="503"/>
      <c r="O58" s="503"/>
      <c r="U58" s="503"/>
    </row>
    <row r="59" customFormat="false" ht="12.75" hidden="false" customHeight="true" outlineLevel="0" collapsed="false">
      <c r="A59" s="503"/>
      <c r="B59" s="504"/>
      <c r="C59" s="563" t="s">
        <v>901</v>
      </c>
      <c r="D59" s="563"/>
      <c r="E59" s="563"/>
      <c r="F59" s="563"/>
      <c r="G59" s="504"/>
      <c r="H59" s="503"/>
      <c r="I59" s="503"/>
      <c r="J59" s="503"/>
      <c r="K59" s="503"/>
      <c r="L59" s="503"/>
      <c r="M59" s="503"/>
      <c r="N59" s="503"/>
      <c r="O59" s="503"/>
      <c r="U59" s="503"/>
    </row>
    <row r="60" customFormat="false" ht="12.75" hidden="false" customHeight="true" outlineLevel="0" collapsed="false">
      <c r="A60" s="503"/>
      <c r="B60" s="503"/>
      <c r="C60" s="503"/>
      <c r="D60" s="503"/>
      <c r="E60" s="503"/>
      <c r="F60" s="503"/>
      <c r="G60" s="503"/>
      <c r="H60" s="503"/>
      <c r="I60" s="503"/>
      <c r="J60" s="503"/>
      <c r="K60" s="503"/>
      <c r="L60" s="503"/>
      <c r="M60" s="503"/>
      <c r="N60" s="503"/>
      <c r="O60" s="503"/>
      <c r="U60" s="503"/>
    </row>
    <row r="61" customFormat="false" ht="12.75" hidden="false" customHeight="true" outlineLevel="0" collapsed="false">
      <c r="A61" s="503"/>
      <c r="B61" s="503"/>
      <c r="C61" s="503"/>
      <c r="D61" s="503"/>
      <c r="E61" s="503"/>
      <c r="F61" s="503"/>
      <c r="G61" s="503"/>
      <c r="H61" s="503"/>
      <c r="I61" s="503"/>
      <c r="J61" s="503"/>
      <c r="K61" s="503"/>
      <c r="L61" s="503"/>
      <c r="M61" s="503"/>
      <c r="N61" s="503"/>
      <c r="O61" s="503"/>
      <c r="U61" s="503"/>
    </row>
    <row r="62" customFormat="false" ht="12.75" hidden="false" customHeight="true" outlineLevel="0" collapsed="false">
      <c r="A62" s="503"/>
      <c r="B62" s="503"/>
      <c r="C62" s="503"/>
      <c r="D62" s="503"/>
      <c r="E62" s="503"/>
      <c r="F62" s="503"/>
      <c r="G62" s="503"/>
      <c r="H62" s="503"/>
      <c r="I62" s="503"/>
      <c r="J62" s="503"/>
      <c r="K62" s="503"/>
      <c r="L62" s="503"/>
      <c r="M62" s="503"/>
      <c r="N62" s="503"/>
      <c r="O62" s="503"/>
      <c r="U62" s="503"/>
    </row>
    <row r="63" customFormat="false" ht="12.75" hidden="false" customHeight="true" outlineLevel="0" collapsed="false">
      <c r="A63" s="503"/>
      <c r="B63" s="503"/>
      <c r="C63" s="503"/>
      <c r="D63" s="503"/>
      <c r="E63" s="503"/>
      <c r="F63" s="503"/>
      <c r="G63" s="503"/>
      <c r="H63" s="503"/>
      <c r="I63" s="503"/>
      <c r="J63" s="503"/>
      <c r="K63" s="503"/>
      <c r="L63" s="503"/>
      <c r="M63" s="503"/>
      <c r="N63" s="503"/>
      <c r="O63" s="503"/>
      <c r="U63" s="503"/>
    </row>
    <row r="64" customFormat="false" ht="12.75" hidden="false" customHeight="true" outlineLevel="0" collapsed="false">
      <c r="A64" s="503"/>
      <c r="B64" s="503"/>
      <c r="C64" s="503"/>
      <c r="D64" s="503"/>
      <c r="E64" s="503"/>
      <c r="F64" s="503"/>
      <c r="G64" s="503"/>
      <c r="H64" s="503"/>
      <c r="I64" s="503"/>
      <c r="J64" s="503"/>
      <c r="K64" s="503"/>
      <c r="L64" s="503"/>
      <c r="M64" s="503"/>
      <c r="N64" s="503"/>
      <c r="O64" s="503"/>
      <c r="U64" s="503"/>
    </row>
    <row r="65" customFormat="false" ht="12.75" hidden="false" customHeight="true" outlineLevel="0" collapsed="false">
      <c r="A65" s="503"/>
      <c r="B65" s="503"/>
      <c r="C65" s="503"/>
      <c r="D65" s="503"/>
      <c r="E65" s="503"/>
      <c r="F65" s="503"/>
      <c r="G65" s="503"/>
      <c r="H65" s="503"/>
      <c r="I65" s="503"/>
      <c r="J65" s="503"/>
      <c r="K65" s="503"/>
      <c r="L65" s="503"/>
      <c r="M65" s="503"/>
      <c r="N65" s="503"/>
      <c r="O65" s="503"/>
      <c r="U65" s="503"/>
    </row>
    <row r="66" customFormat="false" ht="12.75" hidden="false" customHeight="true" outlineLevel="0" collapsed="false">
      <c r="A66" s="503"/>
      <c r="B66" s="503"/>
      <c r="C66" s="503"/>
      <c r="D66" s="503"/>
      <c r="E66" s="503"/>
      <c r="F66" s="503"/>
      <c r="G66" s="503"/>
      <c r="H66" s="503"/>
      <c r="I66" s="503"/>
      <c r="J66" s="503"/>
      <c r="K66" s="503"/>
      <c r="L66" s="503"/>
      <c r="M66" s="503"/>
      <c r="N66" s="503"/>
      <c r="O66" s="503"/>
      <c r="U66" s="503"/>
    </row>
    <row r="67" customFormat="false" ht="12.75" hidden="false" customHeight="true" outlineLevel="0" collapsed="false">
      <c r="A67" s="503"/>
      <c r="B67" s="503"/>
      <c r="C67" s="503"/>
      <c r="D67" s="503"/>
      <c r="E67" s="503"/>
      <c r="F67" s="503"/>
      <c r="G67" s="503"/>
      <c r="H67" s="503"/>
      <c r="I67" s="503"/>
      <c r="J67" s="503"/>
      <c r="K67" s="503"/>
      <c r="L67" s="503"/>
      <c r="M67" s="503"/>
      <c r="N67" s="503"/>
      <c r="O67" s="503"/>
      <c r="U67" s="503"/>
    </row>
  </sheetData>
  <sheetProtection algorithmName="SHA-512" hashValue="vLqCwT6Cg4o3V3gE8cweZ1IrFdOIHx2kuhloxSlvTbw7SzSXI+gpSCW/6dD9UHm/toBXTzHXNi5P5TKx1sZguQ==" saltValue="yCiC2nASAeNIhpDyVtFrew==" spinCount="100000" sheet="true" objects="true" scenarios="true"/>
  <mergeCells count="25">
    <mergeCell ref="C3:F3"/>
    <mergeCell ref="C4:F4"/>
    <mergeCell ref="C6:F6"/>
    <mergeCell ref="C8:F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58:F58"/>
    <mergeCell ref="C59:F59"/>
  </mergeCells>
  <dataValidations count="1">
    <dataValidation allowBlank="true" error="Enter a dollar amount greater than zero." errorStyle="stop" operator="greaterThanOrEqual" showDropDown="false" showErrorMessage="true" showInputMessage="true" sqref="A1 E11:F28 E33:F46 E51:F55" type="decimal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3" min="1" style="1" width="3.62"/>
    <col collapsed="false" customWidth="true" hidden="false" outlineLevel="0" max="4" min="4" style="1" width="30.62"/>
    <col collapsed="false" customWidth="true" hidden="false" outlineLevel="0" max="12" min="5" style="1" width="15.38"/>
    <col collapsed="false" customWidth="true" hidden="false" outlineLevel="0" max="13" min="13" style="1" width="13.62"/>
    <col collapsed="false" customWidth="true" hidden="false" outlineLevel="0" max="15" min="14" style="1" width="3.62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239"/>
      <c r="B1" s="240"/>
      <c r="C1" s="241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240"/>
      <c r="B2" s="242"/>
      <c r="C2" s="81" t="str">
        <f aca="false">Contents!B59</f>
        <v>Version: AS L 6 LARGE locked LOCAL</v>
      </c>
      <c r="D2" s="243"/>
      <c r="E2" s="243"/>
      <c r="F2" s="242"/>
      <c r="G2" s="242"/>
      <c r="H2" s="242"/>
      <c r="I2" s="243"/>
      <c r="J2" s="243"/>
      <c r="K2" s="242"/>
      <c r="L2" s="242"/>
      <c r="M2" s="242"/>
      <c r="N2" s="242"/>
      <c r="O2" s="24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244"/>
      <c r="B3" s="245"/>
      <c r="C3" s="246" t="str">
        <f aca="false">Contents!$E$3</f>
        <v>THE SOCIETY FOR CREATIVE ANACHRONISM, INC.</v>
      </c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5"/>
      <c r="O3" s="24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240"/>
      <c r="B4" s="245"/>
      <c r="C4" s="246" t="str">
        <f aca="false">Contents!$E$4</f>
        <v>FINANCIAL REPORT</v>
      </c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5"/>
      <c r="O4" s="24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240"/>
      <c r="B5" s="242"/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2"/>
      <c r="O5" s="24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579"/>
      <c r="B6" s="242"/>
      <c r="C6" s="248" t="str">
        <f aca="false">Contents!B58</f>
        <v>Branch:   SCA, Inc.- Middle Kingdom                                               Period:  1/01/2025             to     12/31/2025            .</v>
      </c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2"/>
      <c r="O6" s="579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240"/>
      <c r="B7" s="580"/>
      <c r="C7" s="581"/>
      <c r="D7" s="581"/>
      <c r="E7" s="581"/>
      <c r="F7" s="581"/>
      <c r="G7" s="581"/>
      <c r="H7" s="581"/>
      <c r="I7" s="581"/>
      <c r="J7" s="581"/>
      <c r="K7" s="581"/>
      <c r="L7" s="581"/>
      <c r="M7" s="581"/>
      <c r="N7" s="580"/>
      <c r="O7" s="24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579"/>
      <c r="B8" s="242"/>
      <c r="C8" s="249" t="s">
        <v>902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2"/>
      <c r="O8" s="579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240"/>
      <c r="B9" s="580"/>
      <c r="C9" s="581"/>
      <c r="D9" s="580"/>
      <c r="E9" s="580"/>
      <c r="F9" s="580"/>
      <c r="G9" s="580"/>
      <c r="H9" s="580"/>
      <c r="I9" s="580"/>
      <c r="J9" s="580"/>
      <c r="K9" s="580"/>
      <c r="L9" s="580"/>
      <c r="M9" s="580"/>
      <c r="N9" s="580"/>
      <c r="O9" s="24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4.25" hidden="false" customHeight="false" outlineLevel="0" collapsed="false">
      <c r="A10" s="240"/>
      <c r="B10" s="242"/>
      <c r="C10" s="582" t="s">
        <v>463</v>
      </c>
      <c r="D10" s="582"/>
      <c r="E10" s="582"/>
      <c r="F10" s="582"/>
      <c r="G10" s="582"/>
      <c r="H10" s="582"/>
      <c r="I10" s="582"/>
      <c r="J10" s="582"/>
      <c r="K10" s="582"/>
      <c r="L10" s="582"/>
      <c r="M10" s="582"/>
      <c r="N10" s="242"/>
      <c r="O10" s="24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7.35" hidden="false" customHeight="false" outlineLevel="0" collapsed="false">
      <c r="A11" s="240"/>
      <c r="B11" s="242"/>
      <c r="C11" s="583" t="s">
        <v>464</v>
      </c>
      <c r="D11" s="583"/>
      <c r="E11" s="583"/>
      <c r="F11" s="583"/>
      <c r="G11" s="583"/>
      <c r="H11" s="583"/>
      <c r="I11" s="583"/>
      <c r="J11" s="583"/>
      <c r="K11" s="583"/>
      <c r="L11" s="583"/>
      <c r="M11" s="583"/>
      <c r="N11" s="584"/>
      <c r="O11" s="24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7.35" hidden="false" customHeight="false" outlineLevel="0" collapsed="false">
      <c r="A12" s="579"/>
      <c r="B12" s="242"/>
      <c r="C12" s="585" t="s">
        <v>465</v>
      </c>
      <c r="D12" s="585"/>
      <c r="E12" s="585"/>
      <c r="F12" s="585"/>
      <c r="G12" s="585"/>
      <c r="H12" s="585"/>
      <c r="I12" s="585"/>
      <c r="J12" s="585"/>
      <c r="K12" s="585"/>
      <c r="L12" s="585"/>
      <c r="M12" s="585"/>
      <c r="N12" s="584"/>
      <c r="O12" s="579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99.75" hidden="false" customHeight="true" outlineLevel="0" collapsed="false">
      <c r="A13" s="240"/>
      <c r="B13" s="580"/>
      <c r="C13" s="586" t="s">
        <v>903</v>
      </c>
      <c r="D13" s="586"/>
      <c r="E13" s="587"/>
      <c r="F13" s="588"/>
      <c r="G13" s="588"/>
      <c r="H13" s="588"/>
      <c r="I13" s="588"/>
      <c r="J13" s="588"/>
      <c r="K13" s="588"/>
      <c r="L13" s="588"/>
      <c r="M13" s="589" t="s">
        <v>467</v>
      </c>
      <c r="N13" s="580"/>
      <c r="O13" s="24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false" outlineLevel="0" collapsed="false">
      <c r="A14" s="240"/>
      <c r="B14" s="242"/>
      <c r="C14" s="590" t="s">
        <v>468</v>
      </c>
      <c r="D14" s="591" t="s">
        <v>469</v>
      </c>
      <c r="E14" s="592"/>
      <c r="F14" s="593"/>
      <c r="G14" s="593"/>
      <c r="H14" s="593"/>
      <c r="I14" s="593"/>
      <c r="J14" s="593"/>
      <c r="K14" s="593"/>
      <c r="L14" s="593"/>
      <c r="M14" s="589"/>
      <c r="N14" s="242"/>
      <c r="O14" s="24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240"/>
      <c r="B15" s="242"/>
      <c r="C15" s="594" t="s">
        <v>470</v>
      </c>
      <c r="D15" s="594"/>
      <c r="E15" s="594"/>
      <c r="F15" s="594"/>
      <c r="G15" s="594"/>
      <c r="H15" s="594"/>
      <c r="I15" s="594"/>
      <c r="J15" s="594"/>
      <c r="K15" s="594"/>
      <c r="L15" s="594"/>
      <c r="M15" s="594"/>
      <c r="N15" s="242"/>
      <c r="O15" s="24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26.25" hidden="false" customHeight="true" outlineLevel="0" collapsed="false">
      <c r="A16" s="240"/>
      <c r="B16" s="242"/>
      <c r="C16" s="595" t="s">
        <v>471</v>
      </c>
      <c r="D16" s="596" t="s">
        <v>472</v>
      </c>
      <c r="E16" s="597"/>
      <c r="F16" s="598"/>
      <c r="G16" s="598"/>
      <c r="H16" s="598"/>
      <c r="I16" s="598"/>
      <c r="J16" s="598"/>
      <c r="K16" s="598"/>
      <c r="L16" s="598"/>
      <c r="M16" s="599" t="s">
        <v>473</v>
      </c>
      <c r="N16" s="242"/>
      <c r="O16" s="24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26.25" hidden="false" customHeight="true" outlineLevel="0" collapsed="false">
      <c r="A17" s="240"/>
      <c r="B17" s="242"/>
      <c r="C17" s="600" t="s">
        <v>474</v>
      </c>
      <c r="D17" s="601" t="s">
        <v>475</v>
      </c>
      <c r="E17" s="602"/>
      <c r="F17" s="603"/>
      <c r="G17" s="603"/>
      <c r="H17" s="603"/>
      <c r="I17" s="603"/>
      <c r="J17" s="603"/>
      <c r="K17" s="603"/>
      <c r="L17" s="603"/>
      <c r="M17" s="604" t="n">
        <f aca="false">SUM(E17:L17)</f>
        <v>0</v>
      </c>
      <c r="N17" s="242"/>
      <c r="O17" s="24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A18" s="240"/>
      <c r="B18" s="242"/>
      <c r="C18" s="594" t="s">
        <v>476</v>
      </c>
      <c r="D18" s="594"/>
      <c r="E18" s="594"/>
      <c r="F18" s="594"/>
      <c r="G18" s="594"/>
      <c r="H18" s="594"/>
      <c r="I18" s="594"/>
      <c r="J18" s="594"/>
      <c r="K18" s="594"/>
      <c r="L18" s="594"/>
      <c r="M18" s="594"/>
      <c r="N18" s="242"/>
      <c r="O18" s="240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26.25" hidden="false" customHeight="true" outlineLevel="0" collapsed="false">
      <c r="A19" s="240"/>
      <c r="B19" s="242"/>
      <c r="C19" s="595" t="s">
        <v>477</v>
      </c>
      <c r="D19" s="596" t="s">
        <v>478</v>
      </c>
      <c r="E19" s="605"/>
      <c r="F19" s="606"/>
      <c r="G19" s="606"/>
      <c r="H19" s="606"/>
      <c r="I19" s="606"/>
      <c r="J19" s="606"/>
      <c r="K19" s="606"/>
      <c r="L19" s="607"/>
      <c r="M19" s="608"/>
      <c r="N19" s="242"/>
      <c r="O19" s="240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26.25" hidden="false" customHeight="true" outlineLevel="0" collapsed="false">
      <c r="A20" s="240"/>
      <c r="B20" s="242"/>
      <c r="C20" s="609" t="s">
        <v>479</v>
      </c>
      <c r="D20" s="610" t="s">
        <v>480</v>
      </c>
      <c r="E20" s="602"/>
      <c r="F20" s="602"/>
      <c r="G20" s="602"/>
      <c r="H20" s="602"/>
      <c r="I20" s="602"/>
      <c r="J20" s="602"/>
      <c r="K20" s="602"/>
      <c r="L20" s="602"/>
      <c r="M20" s="611"/>
      <c r="N20" s="242"/>
      <c r="O20" s="240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14.25" hidden="false" customHeight="false" outlineLevel="0" collapsed="false">
      <c r="A21" s="240"/>
      <c r="B21" s="242"/>
      <c r="C21" s="594" t="s">
        <v>481</v>
      </c>
      <c r="D21" s="594"/>
      <c r="E21" s="594"/>
      <c r="F21" s="594"/>
      <c r="G21" s="594"/>
      <c r="H21" s="594"/>
      <c r="I21" s="594"/>
      <c r="J21" s="594"/>
      <c r="K21" s="594"/>
      <c r="L21" s="594"/>
      <c r="M21" s="594"/>
      <c r="N21" s="242"/>
      <c r="O21" s="240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26.25" hidden="false" customHeight="true" outlineLevel="0" collapsed="false">
      <c r="A22" s="240"/>
      <c r="B22" s="242"/>
      <c r="C22" s="612" t="s">
        <v>273</v>
      </c>
      <c r="D22" s="613" t="s">
        <v>482</v>
      </c>
      <c r="E22" s="614" t="n">
        <f aca="false">IF(AND(E16&gt;0,E17&gt;0),(E17/E16),IF(AND(E19&gt;0,E20&gt;0),(E20/E19),0))</f>
        <v>0</v>
      </c>
      <c r="F22" s="615" t="n">
        <f aca="false">IF(AND(F16&gt;0,F17&gt;0),(F17/F16),IF(AND(F19&gt;0,F20&gt;0),(F20/F19),0))</f>
        <v>0</v>
      </c>
      <c r="G22" s="615" t="n">
        <f aca="false">IF(AND(G16&gt;0,G17&gt;0),(G17/G16),IF(AND(G19&gt;0,G20&gt;0),(G20/G19),0))</f>
        <v>0</v>
      </c>
      <c r="H22" s="615" t="n">
        <f aca="false">IF(AND(H16&gt;0,H17&gt;0),(H17/H16),IF(AND(H19&gt;0,H20&gt;0),(H20/H19),0))</f>
        <v>0</v>
      </c>
      <c r="I22" s="615" t="n">
        <f aca="false">IF(AND(I16&gt;0,I17&gt;0),(I17/I16),IF(AND(I19&gt;0,I20&gt;0),(I20/I19),0))</f>
        <v>0</v>
      </c>
      <c r="J22" s="615" t="n">
        <f aca="false">IF(AND(J16&gt;0,J17&gt;0),(J17/J16),IF(AND(J19&gt;0,J20&gt;0),(J20/J19),0))</f>
        <v>0</v>
      </c>
      <c r="K22" s="615" t="n">
        <f aca="false">IF(AND(K16&gt;0,K17&gt;0),(K17/K16),IF(AND(K19&gt;0,K20&gt;0),(K20/K19),0))</f>
        <v>0</v>
      </c>
      <c r="L22" s="616" t="n">
        <f aca="false">IF(AND(L16&gt;0,L17&gt;0),(L17/L16),IF(AND(L19&gt;0,L20&gt;0),(L20/L19),0))</f>
        <v>0</v>
      </c>
      <c r="M22" s="617"/>
      <c r="N22" s="242"/>
      <c r="O22" s="240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14.25" hidden="false" customHeight="false" outlineLevel="0" collapsed="false">
      <c r="A23" s="240"/>
      <c r="B23" s="242"/>
      <c r="C23" s="594" t="s">
        <v>483</v>
      </c>
      <c r="D23" s="594"/>
      <c r="E23" s="594"/>
      <c r="F23" s="594"/>
      <c r="G23" s="594"/>
      <c r="H23" s="594"/>
      <c r="I23" s="594"/>
      <c r="J23" s="594"/>
      <c r="K23" s="594"/>
      <c r="L23" s="594"/>
      <c r="M23" s="594"/>
      <c r="N23" s="242"/>
      <c r="O23" s="240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26.25" hidden="false" customHeight="true" outlineLevel="0" collapsed="false">
      <c r="A24" s="240"/>
      <c r="B24" s="242"/>
      <c r="C24" s="618" t="s">
        <v>484</v>
      </c>
      <c r="D24" s="619" t="s">
        <v>485</v>
      </c>
      <c r="E24" s="605"/>
      <c r="F24" s="606"/>
      <c r="G24" s="606"/>
      <c r="H24" s="606"/>
      <c r="I24" s="606"/>
      <c r="J24" s="606"/>
      <c r="K24" s="606"/>
      <c r="L24" s="607"/>
      <c r="M24" s="608"/>
      <c r="N24" s="242"/>
      <c r="O24" s="240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26.25" hidden="false" customHeight="true" outlineLevel="0" collapsed="false">
      <c r="A25" s="240"/>
      <c r="B25" s="242"/>
      <c r="C25" s="609" t="s">
        <v>486</v>
      </c>
      <c r="D25" s="610" t="s">
        <v>487</v>
      </c>
      <c r="E25" s="620"/>
      <c r="F25" s="621"/>
      <c r="G25" s="621"/>
      <c r="H25" s="621"/>
      <c r="I25" s="621"/>
      <c r="J25" s="621"/>
      <c r="K25" s="621"/>
      <c r="L25" s="622"/>
      <c r="M25" s="623"/>
      <c r="N25" s="242"/>
      <c r="O25" s="240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26.25" hidden="false" customHeight="true" outlineLevel="0" collapsed="false">
      <c r="A26" s="240"/>
      <c r="B26" s="242"/>
      <c r="C26" s="609" t="s">
        <v>488</v>
      </c>
      <c r="D26" s="610" t="s">
        <v>489</v>
      </c>
      <c r="E26" s="624" t="n">
        <f aca="false">IF(E16&gt;0,E16,E19)-E24-E25</f>
        <v>0</v>
      </c>
      <c r="F26" s="625" t="n">
        <f aca="false">IF(F16&gt;0,F16,F19)-F24-F25</f>
        <v>0</v>
      </c>
      <c r="G26" s="625" t="n">
        <f aca="false">IF(G16&gt;0,G16,G19)-G24-G25</f>
        <v>0</v>
      </c>
      <c r="H26" s="625" t="n">
        <f aca="false">IF(H16&gt;0,H16,H19)-H24-H25</f>
        <v>0</v>
      </c>
      <c r="I26" s="625" t="n">
        <f aca="false">IF(I16&gt;0,I16,I19)-I24-I25</f>
        <v>0</v>
      </c>
      <c r="J26" s="625" t="n">
        <f aca="false">IF(J16&gt;0,J16,J19)-J24-J25</f>
        <v>0</v>
      </c>
      <c r="K26" s="625" t="n">
        <f aca="false">IF(K16&gt;0,K16,K19)-K24-K25</f>
        <v>0</v>
      </c>
      <c r="L26" s="626" t="n">
        <f aca="false">IF(L16&gt;0,L16,L19)-L24-L25</f>
        <v>0</v>
      </c>
      <c r="M26" s="627" t="s">
        <v>490</v>
      </c>
      <c r="N26" s="242"/>
      <c r="O26" s="240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26.25" hidden="false" customHeight="true" outlineLevel="0" collapsed="false">
      <c r="A27" s="240"/>
      <c r="B27" s="242"/>
      <c r="C27" s="612" t="s">
        <v>491</v>
      </c>
      <c r="D27" s="613" t="s">
        <v>492</v>
      </c>
      <c r="E27" s="628" t="n">
        <f aca="false">E26*E22</f>
        <v>0</v>
      </c>
      <c r="F27" s="629" t="n">
        <f aca="false">F26*F22</f>
        <v>0</v>
      </c>
      <c r="G27" s="629" t="n">
        <f aca="false">G26*G22</f>
        <v>0</v>
      </c>
      <c r="H27" s="629" t="n">
        <f aca="false">H26*H22</f>
        <v>0</v>
      </c>
      <c r="I27" s="629" t="n">
        <f aca="false">I26*I22</f>
        <v>0</v>
      </c>
      <c r="J27" s="629" t="n">
        <f aca="false">J26*J22</f>
        <v>0</v>
      </c>
      <c r="K27" s="629" t="n">
        <f aca="false">K26*K22</f>
        <v>0</v>
      </c>
      <c r="L27" s="630" t="n">
        <f aca="false">L26*L22</f>
        <v>0</v>
      </c>
      <c r="M27" s="631" t="n">
        <f aca="false">SUM(E27:L27)</f>
        <v>0</v>
      </c>
      <c r="N27" s="242"/>
      <c r="O27" s="240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A28" s="240"/>
      <c r="B28" s="242"/>
      <c r="C28" s="594" t="s">
        <v>493</v>
      </c>
      <c r="D28" s="594"/>
      <c r="E28" s="594"/>
      <c r="F28" s="594"/>
      <c r="G28" s="594"/>
      <c r="H28" s="594"/>
      <c r="I28" s="594"/>
      <c r="J28" s="594"/>
      <c r="K28" s="594"/>
      <c r="L28" s="594"/>
      <c r="M28" s="594"/>
      <c r="N28" s="242"/>
      <c r="O28" s="240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26.25" hidden="false" customHeight="true" outlineLevel="0" collapsed="false">
      <c r="A29" s="240"/>
      <c r="B29" s="242"/>
      <c r="C29" s="632" t="s">
        <v>494</v>
      </c>
      <c r="D29" s="633" t="s">
        <v>495</v>
      </c>
      <c r="E29" s="634" t="n">
        <f aca="false">(E17+E20)-E27</f>
        <v>0</v>
      </c>
      <c r="F29" s="635" t="n">
        <f aca="false">(F17+F20)-F27</f>
        <v>0</v>
      </c>
      <c r="G29" s="635" t="n">
        <f aca="false">(G17+G20)-G27</f>
        <v>0</v>
      </c>
      <c r="H29" s="635" t="n">
        <f aca="false">(H17+H20)-H27</f>
        <v>0</v>
      </c>
      <c r="I29" s="635" t="n">
        <f aca="false">(I17+I20)-I27</f>
        <v>0</v>
      </c>
      <c r="J29" s="635" t="n">
        <f aca="false">(J17+J20)-J27</f>
        <v>0</v>
      </c>
      <c r="K29" s="635" t="n">
        <f aca="false">(K17+K20)-K27</f>
        <v>0</v>
      </c>
      <c r="L29" s="636" t="n">
        <f aca="false">(L17+L20)-L27</f>
        <v>0</v>
      </c>
      <c r="M29" s="631" t="n">
        <f aca="false">SUM(E29:L29)</f>
        <v>0</v>
      </c>
      <c r="N29" s="242"/>
      <c r="O29" s="240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26.25" hidden="false" customHeight="true" outlineLevel="0" collapsed="false">
      <c r="A30" s="240"/>
      <c r="B30" s="242"/>
      <c r="C30" s="637" t="s">
        <v>496</v>
      </c>
      <c r="D30" s="610" t="s">
        <v>497</v>
      </c>
      <c r="E30" s="638"/>
      <c r="F30" s="639"/>
      <c r="G30" s="639"/>
      <c r="H30" s="639"/>
      <c r="I30" s="639"/>
      <c r="J30" s="639"/>
      <c r="K30" s="639"/>
      <c r="L30" s="640"/>
      <c r="M30" s="631" t="n">
        <f aca="false">SUM(E30:L30)</f>
        <v>0</v>
      </c>
      <c r="N30" s="242"/>
      <c r="O30" s="240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26.25" hidden="false" customHeight="true" outlineLevel="0" collapsed="false">
      <c r="A31" s="240"/>
      <c r="B31" s="242"/>
      <c r="C31" s="641" t="s">
        <v>498</v>
      </c>
      <c r="D31" s="642" t="s">
        <v>499</v>
      </c>
      <c r="E31" s="643" t="n">
        <f aca="false">E30-E29</f>
        <v>0</v>
      </c>
      <c r="F31" s="644" t="n">
        <f aca="false">F30-F29</f>
        <v>0</v>
      </c>
      <c r="G31" s="644" t="n">
        <f aca="false">G30-G29</f>
        <v>0</v>
      </c>
      <c r="H31" s="644" t="n">
        <f aca="false">H30-H29</f>
        <v>0</v>
      </c>
      <c r="I31" s="644" t="n">
        <f aca="false">I30-I29</f>
        <v>0</v>
      </c>
      <c r="J31" s="644" t="n">
        <f aca="false">J30-J29</f>
        <v>0</v>
      </c>
      <c r="K31" s="644" t="n">
        <f aca="false">K30-K29</f>
        <v>0</v>
      </c>
      <c r="L31" s="645" t="n">
        <f aca="false">L30-L29</f>
        <v>0</v>
      </c>
      <c r="M31" s="646" t="s">
        <v>500</v>
      </c>
      <c r="N31" s="242"/>
      <c r="O31" s="240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A32" s="240"/>
      <c r="B32" s="242"/>
      <c r="C32" s="647" t="s">
        <v>284</v>
      </c>
      <c r="D32" s="647"/>
      <c r="E32" s="647"/>
      <c r="F32" s="647"/>
      <c r="G32" s="647"/>
      <c r="H32" s="647"/>
      <c r="I32" s="647"/>
      <c r="J32" s="647"/>
      <c r="K32" s="647"/>
      <c r="L32" s="647"/>
      <c r="M32" s="647"/>
      <c r="N32" s="242"/>
      <c r="O32" s="240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A33" s="240"/>
      <c r="B33" s="648"/>
      <c r="C33" s="301" t="s">
        <v>904</v>
      </c>
      <c r="D33" s="301"/>
      <c r="E33" s="301"/>
      <c r="F33" s="301"/>
      <c r="G33" s="301"/>
      <c r="H33" s="301"/>
      <c r="I33" s="301"/>
      <c r="J33" s="301"/>
      <c r="K33" s="301"/>
      <c r="L33" s="301"/>
      <c r="M33" s="301"/>
      <c r="N33" s="648"/>
      <c r="O33" s="240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A34" s="240"/>
      <c r="B34" s="240"/>
      <c r="C34" s="241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  <c r="P34" s="79" t="s">
        <v>79</v>
      </c>
      <c r="Q34" s="78"/>
      <c r="R34" s="78"/>
      <c r="S34" s="78"/>
      <c r="T34" s="79" t="s">
        <v>87</v>
      </c>
    </row>
    <row r="35" customFormat="false" ht="14.25" hidden="false" customHeight="false" outlineLevel="0" collapsed="false">
      <c r="A35" s="240"/>
      <c r="B35" s="240"/>
      <c r="C35" s="241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  <c r="O35" s="240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A36" s="240"/>
      <c r="B36" s="240"/>
      <c r="C36" s="241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A37" s="240"/>
      <c r="B37" s="240"/>
      <c r="C37" s="241"/>
      <c r="D37" s="240"/>
      <c r="E37" s="240"/>
      <c r="F37" s="240"/>
      <c r="G37" s="240"/>
      <c r="H37" s="240"/>
      <c r="I37" s="240"/>
      <c r="J37" s="240"/>
      <c r="K37" s="240"/>
      <c r="L37" s="240"/>
      <c r="M37" s="240"/>
      <c r="N37" s="240"/>
      <c r="O37" s="240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A38" s="240"/>
      <c r="B38" s="240"/>
      <c r="C38" s="241"/>
      <c r="D38" s="240"/>
      <c r="E38" s="240"/>
      <c r="F38" s="240"/>
      <c r="G38" s="240"/>
      <c r="H38" s="240"/>
      <c r="I38" s="240"/>
      <c r="J38" s="240"/>
      <c r="K38" s="240"/>
      <c r="L38" s="240"/>
      <c r="M38" s="240"/>
      <c r="N38" s="240"/>
      <c r="O38" s="240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A39" s="240"/>
      <c r="B39" s="240"/>
      <c r="C39" s="241"/>
      <c r="D39" s="240"/>
      <c r="E39" s="240"/>
      <c r="F39" s="240"/>
      <c r="G39" s="240"/>
      <c r="H39" s="240"/>
      <c r="I39" s="240"/>
      <c r="J39" s="240"/>
      <c r="K39" s="240"/>
      <c r="L39" s="240"/>
      <c r="M39" s="240"/>
      <c r="N39" s="240"/>
      <c r="O39" s="240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A40" s="240"/>
      <c r="B40" s="240"/>
      <c r="C40" s="241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P44" s="78"/>
      <c r="Q44" s="78"/>
      <c r="R44" s="78"/>
      <c r="S44" s="78"/>
      <c r="T44" s="78"/>
    </row>
    <row r="45" customFormat="false" ht="14.25" hidden="false" customHeight="false" outlineLevel="0" collapsed="false">
      <c r="P45" s="78"/>
      <c r="Q45" s="78"/>
      <c r="R45" s="78"/>
      <c r="S45" s="78"/>
      <c r="T45" s="78"/>
    </row>
    <row r="46" customFormat="false" ht="14.25" hidden="false" customHeight="false" outlineLevel="0" collapsed="false">
      <c r="Q46" s="78"/>
      <c r="R46" s="78"/>
      <c r="S46" s="78"/>
      <c r="T46" s="78"/>
    </row>
    <row r="47" customFormat="false" ht="14.25" hidden="false" customHeight="false" outlineLevel="0" collapsed="false">
      <c r="Q47" s="78"/>
      <c r="R47" s="78"/>
      <c r="S47" s="78"/>
      <c r="T47" s="78"/>
    </row>
    <row r="48" customFormat="false" ht="14.25" hidden="false" customHeight="false" outlineLevel="0" collapsed="false">
      <c r="S48" s="78"/>
    </row>
    <row r="49" customFormat="false" ht="14.25" hidden="false" customHeight="false" outlineLevel="0" collapsed="false">
      <c r="S49" s="78"/>
    </row>
  </sheetData>
  <sheetProtection algorithmName="SHA-512" hashValue="8fuMT58gv3BLjw3wMySc2tVMD+5NvZmHlU1sGAc7SFhVCn3ggLpWaMN/kvgAcSO3Hix7mL6ERCuJqI+P1F8X3A==" saltValue="3689VRYjjm6HbU8tA0/Cmg==" spinCount="100000" sheet="true" objects="true" scenarios="true"/>
  <mergeCells count="16">
    <mergeCell ref="C3:M3"/>
    <mergeCell ref="C4:M4"/>
    <mergeCell ref="C6:M6"/>
    <mergeCell ref="C8:M8"/>
    <mergeCell ref="C10:M10"/>
    <mergeCell ref="C11:M11"/>
    <mergeCell ref="C12:M12"/>
    <mergeCell ref="C13:D13"/>
    <mergeCell ref="M13:M14"/>
    <mergeCell ref="C15:M15"/>
    <mergeCell ref="C18:M18"/>
    <mergeCell ref="C21:M21"/>
    <mergeCell ref="C23:M23"/>
    <mergeCell ref="C28:M28"/>
    <mergeCell ref="C32:M32"/>
    <mergeCell ref="C33:M33"/>
  </mergeCells>
  <conditionalFormatting sqref="O5:O16">
    <cfRule type="expression" priority="2" aboveAverage="0" equalAverage="0" bottom="0" percent="0" rank="0" text="" dxfId="54">
      <formula>OR(O$17&gt;0,O$18&gt;0)</formula>
    </cfRule>
  </conditionalFormatting>
  <conditionalFormatting sqref="L6:L12 M6:N17 L15">
    <cfRule type="expression" priority="3" aboveAverage="0" equalAverage="0" bottom="0" percent="0" rank="0" text="" dxfId="55">
      <formula>OR(L$18&gt;0,L$19&gt;0)</formula>
    </cfRule>
  </conditionalFormatting>
  <conditionalFormatting sqref="E19:L20">
    <cfRule type="expression" priority="4" aboveAverage="0" equalAverage="0" bottom="0" percent="0" rank="0" text="" dxfId="56">
      <formula>OR(E$16&gt;0,E$17&gt;0)</formula>
    </cfRule>
  </conditionalFormatting>
  <dataValidations count="3">
    <dataValidation allowBlank="true" error="Enter a dollar amount greater than zero." errorStyle="stop" operator="greaterThanOrEqual" showDropDown="false" showErrorMessage="true" showInputMessage="true" sqref="E14:L14 E17:L17 E30:L30" type="decimal">
      <formula1>0</formula1>
      <formula2>0</formula2>
    </dataValidation>
    <dataValidation allowBlank="true" error="Enter a whole quantity greater than or equal to zero." errorStyle="stop" operator="greaterThanOrEqual" showDropDown="false" showErrorMessage="true" showInputMessage="true" sqref="E16:L16 E19:L19 E24:L25" type="whole">
      <formula1>0</formula1>
      <formula2>0</formula2>
    </dataValidation>
    <dataValidation allowBlank="true" error="Enter a dollar amount greater than $250.00." errorStyle="stop" operator="greaterThanOrEqual" showDropDown="false" showErrorMessage="true" showInputMessage="true" sqref="E20:L20" type="decimal">
      <formula1>250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5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35.62"/>
    <col collapsed="false" customWidth="true" hidden="false" outlineLevel="0" max="4" min="4" style="1" width="6.62"/>
    <col collapsed="false" customWidth="false" hidden="false" outlineLevel="0" max="9" min="5" style="1" width="9.13"/>
    <col collapsed="false" customWidth="true" hidden="false" outlineLevel="0" max="11" min="10" style="1" width="3.62"/>
    <col collapsed="false" customWidth="true" hidden="true" outlineLevel="0" max="15" min="12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2.75" hidden="false" customHeight="true" outlineLevel="0" collapsed="false">
      <c r="A1" s="64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69"/>
      <c r="V1" s="69"/>
    </row>
    <row r="2" customFormat="false" ht="12.75" hidden="false" customHeight="true" outlineLevel="0" collapsed="false">
      <c r="A2" s="69"/>
      <c r="B2" s="650"/>
      <c r="C2" s="81" t="str">
        <f aca="false">Contents!B59</f>
        <v>Version: AS L 6 LARGE locked LOCAL</v>
      </c>
      <c r="D2" s="650"/>
      <c r="E2" s="650"/>
      <c r="F2" s="650"/>
      <c r="G2" s="650"/>
      <c r="H2" s="651"/>
      <c r="I2" s="651"/>
      <c r="J2" s="650"/>
      <c r="K2" s="69"/>
      <c r="L2" s="69"/>
      <c r="M2" s="69"/>
      <c r="N2" s="69"/>
      <c r="O2" s="69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69"/>
      <c r="V2" s="69"/>
    </row>
    <row r="3" customFormat="false" ht="12.75" hidden="false" customHeight="true" outlineLevel="0" collapsed="false">
      <c r="A3" s="653"/>
      <c r="B3" s="654"/>
      <c r="C3" s="655" t="str">
        <f aca="false">Contents!$E$3</f>
        <v>THE SOCIETY FOR CREATIVE ANACHRONISM, INC.</v>
      </c>
      <c r="D3" s="655"/>
      <c r="E3" s="655"/>
      <c r="F3" s="655"/>
      <c r="G3" s="655"/>
      <c r="H3" s="655"/>
      <c r="I3" s="655"/>
      <c r="J3" s="654"/>
      <c r="K3" s="653"/>
      <c r="L3" s="653"/>
      <c r="M3" s="653"/>
      <c r="N3" s="653"/>
      <c r="O3" s="653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653"/>
      <c r="V3" s="653"/>
    </row>
    <row r="4" customFormat="false" ht="12.75" hidden="false" customHeight="true" outlineLevel="0" collapsed="false">
      <c r="A4" s="69"/>
      <c r="B4" s="654"/>
      <c r="C4" s="655" t="str">
        <f aca="false">Contents!$E$4</f>
        <v>FINANCIAL REPORT</v>
      </c>
      <c r="D4" s="655"/>
      <c r="E4" s="655"/>
      <c r="F4" s="655"/>
      <c r="G4" s="655"/>
      <c r="H4" s="655"/>
      <c r="I4" s="655"/>
      <c r="J4" s="654"/>
      <c r="K4" s="69"/>
      <c r="L4" s="69"/>
      <c r="M4" s="69"/>
      <c r="N4" s="69"/>
      <c r="O4" s="69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69"/>
      <c r="V4" s="69"/>
    </row>
    <row r="5" customFormat="false" ht="12.75" hidden="false" customHeight="true" outlineLevel="0" collapsed="false">
      <c r="A5" s="69"/>
      <c r="B5" s="650"/>
      <c r="C5" s="657"/>
      <c r="D5" s="650"/>
      <c r="E5" s="650"/>
      <c r="F5" s="650"/>
      <c r="G5" s="650"/>
      <c r="H5" s="657"/>
      <c r="I5" s="657"/>
      <c r="J5" s="650"/>
      <c r="K5" s="69"/>
      <c r="L5" s="69"/>
      <c r="M5" s="69"/>
      <c r="N5" s="69"/>
      <c r="O5" s="69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69"/>
      <c r="V5" s="69"/>
    </row>
    <row r="6" customFormat="false" ht="12.75" hidden="false" customHeight="true" outlineLevel="0" collapsed="false">
      <c r="A6" s="69"/>
      <c r="B6" s="650"/>
      <c r="C6" s="658" t="str">
        <f aca="false">Contents!B58</f>
        <v>Branch:   SCA, Inc.- Middle Kingdom                                               Period:  1/01/2025             to     12/31/2025            .</v>
      </c>
      <c r="D6" s="658"/>
      <c r="E6" s="658"/>
      <c r="F6" s="658"/>
      <c r="G6" s="658"/>
      <c r="H6" s="658"/>
      <c r="I6" s="658"/>
      <c r="J6" s="650"/>
      <c r="K6" s="69"/>
      <c r="L6" s="69"/>
      <c r="M6" s="69"/>
      <c r="N6" s="69"/>
      <c r="O6" s="69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69"/>
      <c r="V6" s="69"/>
    </row>
    <row r="7" customFormat="false" ht="12.75" hidden="false" customHeight="true" outlineLevel="0" collapsed="false">
      <c r="A7" s="69"/>
      <c r="B7" s="650"/>
      <c r="C7" s="657"/>
      <c r="D7" s="650"/>
      <c r="E7" s="650"/>
      <c r="F7" s="650"/>
      <c r="G7" s="650"/>
      <c r="H7" s="657"/>
      <c r="I7" s="657"/>
      <c r="J7" s="650"/>
      <c r="K7" s="69"/>
      <c r="L7" s="69"/>
      <c r="M7" s="69"/>
      <c r="N7" s="69"/>
      <c r="O7" s="69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69"/>
      <c r="V7" s="69"/>
    </row>
    <row r="8" customFormat="false" ht="12.75" hidden="false" customHeight="true" outlineLevel="0" collapsed="false">
      <c r="A8" s="69"/>
      <c r="B8" s="650"/>
      <c r="C8" s="659" t="s">
        <v>905</v>
      </c>
      <c r="D8" s="659"/>
      <c r="E8" s="659"/>
      <c r="F8" s="659"/>
      <c r="G8" s="659"/>
      <c r="H8" s="659"/>
      <c r="I8" s="659"/>
      <c r="J8" s="650"/>
      <c r="K8" s="69"/>
      <c r="L8" s="69"/>
      <c r="M8" s="69"/>
      <c r="N8" s="69"/>
      <c r="O8" s="69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69"/>
      <c r="V8" s="69"/>
    </row>
    <row r="9" customFormat="false" ht="12.75" hidden="false" customHeight="true" outlineLevel="0" collapsed="false">
      <c r="A9" s="69"/>
      <c r="B9" s="650"/>
      <c r="C9" s="657"/>
      <c r="D9" s="650"/>
      <c r="E9" s="650"/>
      <c r="F9" s="650"/>
      <c r="G9" s="650"/>
      <c r="H9" s="657"/>
      <c r="I9" s="657"/>
      <c r="J9" s="650"/>
      <c r="K9" s="69"/>
      <c r="L9" s="69"/>
      <c r="M9" s="69"/>
      <c r="N9" s="69"/>
      <c r="O9" s="69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69"/>
      <c r="V9" s="69"/>
    </row>
    <row r="10" customFormat="false" ht="12.75" hidden="false" customHeight="true" outlineLevel="0" collapsed="false">
      <c r="A10" s="660"/>
      <c r="B10" s="650"/>
      <c r="C10" s="1254" t="s">
        <v>906</v>
      </c>
      <c r="D10" s="1254"/>
      <c r="E10" s="1254"/>
      <c r="F10" s="1254"/>
      <c r="G10" s="1254"/>
      <c r="H10" s="1254"/>
      <c r="I10" s="1254"/>
      <c r="J10" s="650"/>
      <c r="K10" s="660"/>
      <c r="L10" s="660"/>
      <c r="M10" s="660"/>
      <c r="N10" s="660"/>
      <c r="O10" s="66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660"/>
      <c r="V10" s="660"/>
    </row>
    <row r="11" customFormat="false" ht="20.25" hidden="false" customHeight="true" outlineLevel="0" collapsed="false">
      <c r="A11" s="660"/>
      <c r="B11" s="657"/>
      <c r="C11" s="1255" t="s">
        <v>907</v>
      </c>
      <c r="D11" s="1256"/>
      <c r="E11" s="1256"/>
      <c r="F11" s="1256"/>
      <c r="G11" s="1256"/>
      <c r="H11" s="113"/>
      <c r="I11" s="113"/>
      <c r="J11" s="657"/>
      <c r="K11" s="660"/>
      <c r="L11" s="660"/>
      <c r="M11" s="660"/>
      <c r="N11" s="660"/>
      <c r="O11" s="66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660"/>
      <c r="V11" s="660"/>
    </row>
    <row r="12" customFormat="false" ht="8.25" hidden="false" customHeight="true" outlineLevel="0" collapsed="false">
      <c r="A12" s="660"/>
      <c r="B12" s="657"/>
      <c r="C12" s="650"/>
      <c r="D12" s="650"/>
      <c r="E12" s="650"/>
      <c r="F12" s="650"/>
      <c r="G12" s="650"/>
      <c r="H12" s="650"/>
      <c r="I12" s="650"/>
      <c r="J12" s="657"/>
      <c r="K12" s="660"/>
      <c r="L12" s="660"/>
      <c r="M12" s="660"/>
      <c r="N12" s="660"/>
      <c r="O12" s="660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660"/>
      <c r="V12" s="660"/>
    </row>
    <row r="13" customFormat="false" ht="12.75" hidden="false" customHeight="true" outlineLevel="0" collapsed="false">
      <c r="A13" s="69"/>
      <c r="B13" s="657"/>
      <c r="C13" s="650"/>
      <c r="D13" s="650"/>
      <c r="E13" s="650"/>
      <c r="F13" s="650"/>
      <c r="G13" s="650"/>
      <c r="H13" s="650"/>
      <c r="I13" s="650"/>
      <c r="J13" s="657"/>
      <c r="K13" s="69"/>
      <c r="L13" s="69"/>
      <c r="M13" s="69"/>
      <c r="N13" s="69"/>
      <c r="O13" s="69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69"/>
      <c r="V13" s="69"/>
    </row>
    <row r="14" customFormat="false" ht="12.75" hidden="false" customHeight="true" outlineLevel="0" collapsed="false">
      <c r="A14" s="69"/>
      <c r="B14" s="657"/>
      <c r="C14" s="1257"/>
      <c r="D14" s="1257"/>
      <c r="E14" s="1257"/>
      <c r="F14" s="1257"/>
      <c r="G14" s="1257"/>
      <c r="H14" s="1257"/>
      <c r="I14" s="1257"/>
      <c r="J14" s="657"/>
      <c r="K14" s="69"/>
      <c r="L14" s="69"/>
      <c r="M14" s="69"/>
      <c r="N14" s="69"/>
      <c r="O14" s="69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69"/>
      <c r="V14" s="69"/>
    </row>
    <row r="15" customFormat="false" ht="12.75" hidden="false" customHeight="true" outlineLevel="0" collapsed="false">
      <c r="A15" s="69"/>
      <c r="B15" s="657"/>
      <c r="C15" s="1258"/>
      <c r="D15" s="1258"/>
      <c r="E15" s="1258"/>
      <c r="F15" s="1258"/>
      <c r="G15" s="1258"/>
      <c r="H15" s="1258"/>
      <c r="I15" s="1258"/>
      <c r="J15" s="657"/>
      <c r="K15" s="69"/>
      <c r="L15" s="69"/>
      <c r="M15" s="69"/>
      <c r="N15" s="69"/>
      <c r="O15" s="69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69"/>
      <c r="V15" s="69"/>
    </row>
    <row r="16" customFormat="false" ht="12.75" hidden="false" customHeight="true" outlineLevel="0" collapsed="false">
      <c r="A16" s="69"/>
      <c r="B16" s="657"/>
      <c r="C16" s="671"/>
      <c r="D16" s="671"/>
      <c r="E16" s="671"/>
      <c r="F16" s="671"/>
      <c r="G16" s="671"/>
      <c r="H16" s="671"/>
      <c r="I16" s="671"/>
      <c r="J16" s="657"/>
      <c r="K16" s="69"/>
      <c r="L16" s="69"/>
      <c r="M16" s="69"/>
      <c r="N16" s="69"/>
      <c r="O16" s="69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69"/>
      <c r="V16" s="69"/>
    </row>
    <row r="17" customFormat="false" ht="12.75" hidden="false" customHeight="true" outlineLevel="0" collapsed="false">
      <c r="A17" s="69"/>
      <c r="B17" s="650"/>
      <c r="C17" s="672" t="s">
        <v>509</v>
      </c>
      <c r="D17" s="673" t="s">
        <v>510</v>
      </c>
      <c r="E17" s="674" t="s">
        <v>511</v>
      </c>
      <c r="F17" s="674" t="s">
        <v>512</v>
      </c>
      <c r="G17" s="674" t="s">
        <v>513</v>
      </c>
      <c r="H17" s="674" t="s">
        <v>514</v>
      </c>
      <c r="I17" s="675" t="s">
        <v>515</v>
      </c>
      <c r="J17" s="650"/>
      <c r="K17" s="69"/>
      <c r="L17" s="69"/>
      <c r="M17" s="69"/>
      <c r="N17" s="69"/>
      <c r="O17" s="69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69"/>
      <c r="V17" s="69"/>
    </row>
    <row r="18" customFormat="false" ht="12.75" hidden="false" customHeight="true" outlineLevel="0" collapsed="false">
      <c r="A18" s="69"/>
      <c r="B18" s="650"/>
      <c r="C18" s="672"/>
      <c r="D18" s="673"/>
      <c r="E18" s="673"/>
      <c r="F18" s="674"/>
      <c r="G18" s="674"/>
      <c r="H18" s="674"/>
      <c r="I18" s="675"/>
      <c r="J18" s="650"/>
      <c r="K18" s="69"/>
      <c r="L18" s="69"/>
      <c r="M18" s="69"/>
      <c r="N18" s="69"/>
      <c r="O18" s="69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69"/>
      <c r="V18" s="69"/>
    </row>
    <row r="19" customFormat="false" ht="12.75" hidden="false" customHeight="true" outlineLevel="0" collapsed="false">
      <c r="A19" s="69"/>
      <c r="B19" s="650"/>
      <c r="C19" s="672"/>
      <c r="D19" s="673"/>
      <c r="E19" s="673"/>
      <c r="F19" s="674"/>
      <c r="G19" s="674"/>
      <c r="H19" s="674"/>
      <c r="I19" s="675"/>
      <c r="J19" s="650"/>
      <c r="K19" s="69"/>
      <c r="L19" s="69"/>
      <c r="M19" s="69"/>
      <c r="N19" s="69"/>
      <c r="O19" s="69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69"/>
      <c r="V19" s="69"/>
    </row>
    <row r="20" customFormat="false" ht="12.75" hidden="false" customHeight="true" outlineLevel="0" collapsed="false">
      <c r="A20" s="69"/>
      <c r="B20" s="650"/>
      <c r="C20" s="1259"/>
      <c r="D20" s="1260"/>
      <c r="E20" s="1261"/>
      <c r="F20" s="1262" t="n">
        <v>0</v>
      </c>
      <c r="G20" s="1263"/>
      <c r="H20" s="1264"/>
      <c r="I20" s="682" t="n">
        <f aca="false">IF(F20&gt;0,F20,G20)+H20</f>
        <v>0</v>
      </c>
      <c r="J20" s="650"/>
      <c r="K20" s="69"/>
      <c r="L20" s="69"/>
      <c r="M20" s="69"/>
      <c r="N20" s="69"/>
      <c r="O20" s="69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69"/>
      <c r="V20" s="69"/>
    </row>
    <row r="21" customFormat="false" ht="12.75" hidden="false" customHeight="true" outlineLevel="0" collapsed="false">
      <c r="A21" s="69"/>
      <c r="B21" s="650"/>
      <c r="C21" s="1265"/>
      <c r="D21" s="1266"/>
      <c r="E21" s="1267"/>
      <c r="F21" s="1268" t="n">
        <v>0</v>
      </c>
      <c r="G21" s="1268"/>
      <c r="H21" s="1269"/>
      <c r="I21" s="688" t="n">
        <f aca="false">IF(F21&gt;0,F21,G21)+H21</f>
        <v>0</v>
      </c>
      <c r="J21" s="650"/>
      <c r="K21" s="69"/>
      <c r="L21" s="69"/>
      <c r="M21" s="69"/>
      <c r="N21" s="69"/>
      <c r="O21" s="69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69"/>
      <c r="V21" s="69"/>
    </row>
    <row r="22" customFormat="false" ht="12.75" hidden="false" customHeight="true" outlineLevel="0" collapsed="false">
      <c r="A22" s="69"/>
      <c r="B22" s="650"/>
      <c r="C22" s="1265"/>
      <c r="D22" s="1270"/>
      <c r="E22" s="1267"/>
      <c r="F22" s="1268" t="n">
        <v>0</v>
      </c>
      <c r="G22" s="1268"/>
      <c r="H22" s="1269"/>
      <c r="I22" s="688" t="n">
        <f aca="false">IF(F22&gt;0,F22,G22)+H22</f>
        <v>0</v>
      </c>
      <c r="J22" s="650"/>
      <c r="K22" s="69"/>
      <c r="L22" s="69"/>
      <c r="M22" s="69"/>
      <c r="N22" s="69"/>
      <c r="O22" s="69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69"/>
      <c r="V22" s="69"/>
    </row>
    <row r="23" customFormat="false" ht="12.75" hidden="false" customHeight="true" outlineLevel="0" collapsed="false">
      <c r="A23" s="69"/>
      <c r="B23" s="650"/>
      <c r="C23" s="1265"/>
      <c r="D23" s="1270"/>
      <c r="E23" s="1267"/>
      <c r="F23" s="1268" t="n">
        <v>0</v>
      </c>
      <c r="G23" s="1268"/>
      <c r="H23" s="1269"/>
      <c r="I23" s="688" t="n">
        <f aca="false">IF(F23&gt;0,F23,G23)+H23</f>
        <v>0</v>
      </c>
      <c r="J23" s="650"/>
      <c r="K23" s="69"/>
      <c r="L23" s="69"/>
      <c r="M23" s="69"/>
      <c r="N23" s="69"/>
      <c r="O23" s="69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69"/>
      <c r="V23" s="69"/>
    </row>
    <row r="24" customFormat="false" ht="12.75" hidden="false" customHeight="true" outlineLevel="0" collapsed="false">
      <c r="A24" s="69"/>
      <c r="B24" s="650"/>
      <c r="C24" s="1265"/>
      <c r="D24" s="1270"/>
      <c r="E24" s="1267"/>
      <c r="F24" s="1268" t="n">
        <v>0</v>
      </c>
      <c r="G24" s="1268"/>
      <c r="H24" s="1269"/>
      <c r="I24" s="688" t="n">
        <f aca="false">IF(F24&gt;0,F24,G24)+H24</f>
        <v>0</v>
      </c>
      <c r="J24" s="650"/>
      <c r="K24" s="69"/>
      <c r="L24" s="69"/>
      <c r="M24" s="69"/>
      <c r="N24" s="69"/>
      <c r="O24" s="69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69"/>
      <c r="V24" s="69"/>
    </row>
    <row r="25" customFormat="false" ht="12.75" hidden="false" customHeight="true" outlineLevel="0" collapsed="false">
      <c r="A25" s="69"/>
      <c r="B25" s="650"/>
      <c r="C25" s="1265"/>
      <c r="D25" s="1270"/>
      <c r="E25" s="1267"/>
      <c r="F25" s="1268" t="n">
        <v>0</v>
      </c>
      <c r="G25" s="1268"/>
      <c r="H25" s="1269"/>
      <c r="I25" s="688" t="n">
        <f aca="false">IF(F25&gt;0,F25,G25)+H25</f>
        <v>0</v>
      </c>
      <c r="J25" s="650"/>
      <c r="K25" s="69"/>
      <c r="L25" s="69"/>
      <c r="M25" s="69"/>
      <c r="N25" s="69"/>
      <c r="O25" s="69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69"/>
      <c r="V25" s="69"/>
    </row>
    <row r="26" customFormat="false" ht="12.75" hidden="false" customHeight="true" outlineLevel="0" collapsed="false">
      <c r="A26" s="69"/>
      <c r="B26" s="650"/>
      <c r="C26" s="1265"/>
      <c r="D26" s="1270"/>
      <c r="E26" s="1267"/>
      <c r="F26" s="1268" t="n">
        <v>0</v>
      </c>
      <c r="G26" s="1268"/>
      <c r="H26" s="1269"/>
      <c r="I26" s="688" t="n">
        <f aca="false">IF(F26&gt;0,F26,G26)+H26</f>
        <v>0</v>
      </c>
      <c r="J26" s="650"/>
      <c r="K26" s="69"/>
      <c r="L26" s="69"/>
      <c r="M26" s="69"/>
      <c r="N26" s="69"/>
      <c r="O26" s="69"/>
      <c r="P26" s="79" t="s">
        <v>174</v>
      </c>
      <c r="Q26" s="78"/>
      <c r="R26" s="78"/>
      <c r="S26" s="79" t="s">
        <v>83</v>
      </c>
      <c r="T26" s="79" t="s">
        <v>174</v>
      </c>
      <c r="U26" s="69"/>
      <c r="V26" s="69"/>
    </row>
    <row r="27" customFormat="false" ht="12.75" hidden="false" customHeight="true" outlineLevel="0" collapsed="false">
      <c r="A27" s="69"/>
      <c r="B27" s="650"/>
      <c r="C27" s="1265"/>
      <c r="D27" s="1270"/>
      <c r="E27" s="1267"/>
      <c r="F27" s="1268" t="n">
        <v>0</v>
      </c>
      <c r="G27" s="1268"/>
      <c r="H27" s="1269"/>
      <c r="I27" s="688" t="n">
        <f aca="false">IF(F27&gt;0,F27,G27)+H27</f>
        <v>0</v>
      </c>
      <c r="J27" s="650"/>
      <c r="K27" s="69"/>
      <c r="L27" s="69"/>
      <c r="M27" s="69"/>
      <c r="N27" s="69"/>
      <c r="O27" s="69"/>
      <c r="P27" s="79" t="s">
        <v>177</v>
      </c>
      <c r="Q27" s="78"/>
      <c r="R27" s="78"/>
      <c r="S27" s="79" t="s">
        <v>85</v>
      </c>
      <c r="T27" s="79" t="s">
        <v>76</v>
      </c>
      <c r="U27" s="69"/>
      <c r="V27" s="69"/>
    </row>
    <row r="28" customFormat="false" ht="12.75" hidden="false" customHeight="true" outlineLevel="0" collapsed="false">
      <c r="A28" s="69"/>
      <c r="B28" s="650"/>
      <c r="C28" s="1265"/>
      <c r="D28" s="1266"/>
      <c r="E28" s="1267"/>
      <c r="F28" s="1268" t="n">
        <v>0</v>
      </c>
      <c r="G28" s="1268"/>
      <c r="H28" s="1269"/>
      <c r="I28" s="688" t="n">
        <f aca="false">IF(F28&gt;0,F28,G28)+H28</f>
        <v>0</v>
      </c>
      <c r="J28" s="650"/>
      <c r="K28" s="69"/>
      <c r="L28" s="69"/>
      <c r="M28" s="69"/>
      <c r="N28" s="69"/>
      <c r="O28" s="69"/>
      <c r="P28" s="79" t="s">
        <v>178</v>
      </c>
      <c r="Q28" s="78"/>
      <c r="R28" s="78"/>
      <c r="S28" s="79" t="s">
        <v>86</v>
      </c>
      <c r="T28" s="79" t="s">
        <v>78</v>
      </c>
      <c r="U28" s="69"/>
      <c r="V28" s="69"/>
    </row>
    <row r="29" customFormat="false" ht="12.75" hidden="false" customHeight="true" outlineLevel="0" collapsed="false">
      <c r="A29" s="69"/>
      <c r="B29" s="650"/>
      <c r="C29" s="1265"/>
      <c r="D29" s="1266"/>
      <c r="E29" s="1267"/>
      <c r="F29" s="1268" t="n">
        <v>0</v>
      </c>
      <c r="G29" s="1268"/>
      <c r="H29" s="1269"/>
      <c r="I29" s="688" t="n">
        <f aca="false">IF(F29&gt;0,F29,G29)+H29</f>
        <v>0</v>
      </c>
      <c r="J29" s="650"/>
      <c r="K29" s="69"/>
      <c r="L29" s="69"/>
      <c r="M29" s="69"/>
      <c r="N29" s="69"/>
      <c r="O29" s="69"/>
      <c r="P29" s="79" t="s">
        <v>179</v>
      </c>
      <c r="Q29" s="78"/>
      <c r="R29" s="78"/>
      <c r="S29" s="79" t="s">
        <v>87</v>
      </c>
      <c r="T29" s="79" t="s">
        <v>79</v>
      </c>
      <c r="U29" s="69"/>
      <c r="V29" s="69"/>
    </row>
    <row r="30" customFormat="false" ht="12.75" hidden="false" customHeight="true" outlineLevel="0" collapsed="false">
      <c r="A30" s="69"/>
      <c r="B30" s="650"/>
      <c r="C30" s="1265"/>
      <c r="D30" s="1266"/>
      <c r="E30" s="1267"/>
      <c r="F30" s="1268" t="n">
        <v>0</v>
      </c>
      <c r="G30" s="1268"/>
      <c r="H30" s="1269"/>
      <c r="I30" s="688" t="n">
        <f aca="false">IF(F30&gt;0,F30,G30)+H30</f>
        <v>0</v>
      </c>
      <c r="J30" s="650"/>
      <c r="K30" s="69"/>
      <c r="L30" s="69"/>
      <c r="M30" s="69"/>
      <c r="N30" s="69"/>
      <c r="O30" s="69"/>
      <c r="P30" s="79" t="s">
        <v>180</v>
      </c>
      <c r="Q30" s="78"/>
      <c r="R30" s="78"/>
      <c r="S30" s="79" t="s">
        <v>91</v>
      </c>
      <c r="T30" s="79" t="s">
        <v>81</v>
      </c>
      <c r="U30" s="69"/>
      <c r="V30" s="69"/>
    </row>
    <row r="31" customFormat="false" ht="12.75" hidden="false" customHeight="true" outlineLevel="0" collapsed="false">
      <c r="A31" s="69"/>
      <c r="B31" s="650"/>
      <c r="C31" s="1271"/>
      <c r="D31" s="1272"/>
      <c r="E31" s="1273"/>
      <c r="F31" s="1274" t="n">
        <v>0</v>
      </c>
      <c r="G31" s="1274"/>
      <c r="H31" s="1274"/>
      <c r="I31" s="1275" t="n">
        <f aca="false">IF(F31&gt;0,F31,G31)+H31</f>
        <v>0</v>
      </c>
      <c r="J31" s="650"/>
      <c r="K31" s="69"/>
      <c r="L31" s="69"/>
      <c r="M31" s="69"/>
      <c r="N31" s="69"/>
      <c r="O31" s="69"/>
      <c r="P31" s="79" t="s">
        <v>181</v>
      </c>
      <c r="Q31" s="78"/>
      <c r="R31" s="78"/>
      <c r="S31" s="78"/>
      <c r="T31" s="79" t="s">
        <v>83</v>
      </c>
      <c r="U31" s="69"/>
      <c r="V31" s="69"/>
    </row>
    <row r="32" customFormat="false" ht="12.75" hidden="false" customHeight="true" outlineLevel="0" collapsed="false">
      <c r="A32" s="69"/>
      <c r="B32" s="650"/>
      <c r="C32" s="691"/>
      <c r="D32" s="692"/>
      <c r="E32" s="693" t="s">
        <v>213</v>
      </c>
      <c r="F32" s="694" t="n">
        <f aca="false">SUM(F20:F31)</f>
        <v>0</v>
      </c>
      <c r="G32" s="695"/>
      <c r="H32" s="694" t="n">
        <f aca="false">SUMIF(H20:H31,"&gt;0",H20:H31)</f>
        <v>0</v>
      </c>
      <c r="I32" s="696" t="n">
        <f aca="false">SUM(I20:I31)</f>
        <v>0</v>
      </c>
      <c r="J32" s="1276"/>
      <c r="K32" s="69"/>
      <c r="L32" s="69"/>
      <c r="M32" s="69"/>
      <c r="N32" s="69"/>
      <c r="O32" s="69"/>
      <c r="P32" s="79" t="s">
        <v>76</v>
      </c>
      <c r="Q32" s="78"/>
      <c r="R32" s="78"/>
      <c r="S32" s="78"/>
      <c r="T32" s="79" t="s">
        <v>85</v>
      </c>
      <c r="U32" s="69"/>
      <c r="V32" s="69"/>
    </row>
    <row r="33" customFormat="false" ht="12.75" hidden="false" customHeight="true" outlineLevel="0" collapsed="false">
      <c r="A33" s="69"/>
      <c r="B33" s="650"/>
      <c r="C33" s="698"/>
      <c r="D33" s="699"/>
      <c r="E33" s="700" t="s">
        <v>516</v>
      </c>
      <c r="F33" s="701" t="s">
        <v>908</v>
      </c>
      <c r="G33" s="695"/>
      <c r="H33" s="701" t="s">
        <v>909</v>
      </c>
      <c r="I33" s="702" t="s">
        <v>910</v>
      </c>
      <c r="J33" s="650"/>
      <c r="K33" s="69"/>
      <c r="L33" s="69"/>
      <c r="M33" s="69"/>
      <c r="N33" s="69"/>
      <c r="O33" s="69"/>
      <c r="P33" s="79" t="s">
        <v>78</v>
      </c>
      <c r="Q33" s="78"/>
      <c r="R33" s="78"/>
      <c r="S33" s="78"/>
      <c r="T33" s="79" t="s">
        <v>86</v>
      </c>
      <c r="U33" s="69"/>
      <c r="V33" s="69"/>
    </row>
    <row r="34" customFormat="false" ht="12.75" hidden="false" customHeight="true" outlineLevel="0" collapsed="false">
      <c r="A34" s="69"/>
      <c r="B34" s="650"/>
      <c r="C34" s="650"/>
      <c r="D34" s="650"/>
      <c r="E34" s="650"/>
      <c r="F34" s="650"/>
      <c r="G34" s="650"/>
      <c r="H34" s="650"/>
      <c r="I34" s="650"/>
      <c r="J34" s="650"/>
      <c r="K34" s="69"/>
      <c r="L34" s="69"/>
      <c r="M34" s="69"/>
      <c r="N34" s="69"/>
      <c r="O34" s="69"/>
      <c r="P34" s="79" t="s">
        <v>79</v>
      </c>
      <c r="Q34" s="78"/>
      <c r="R34" s="78"/>
      <c r="S34" s="78"/>
      <c r="T34" s="79" t="s">
        <v>87</v>
      </c>
      <c r="U34" s="69"/>
      <c r="V34" s="69"/>
    </row>
    <row r="35" customFormat="false" ht="14.25" hidden="false" customHeight="true" outlineLevel="0" collapsed="false">
      <c r="A35" s="69"/>
      <c r="B35" s="703"/>
      <c r="C35" s="704" t="s">
        <v>911</v>
      </c>
      <c r="D35" s="704"/>
      <c r="E35" s="704"/>
      <c r="F35" s="704"/>
      <c r="G35" s="704"/>
      <c r="H35" s="704"/>
      <c r="I35" s="704"/>
      <c r="J35" s="703"/>
      <c r="K35" s="69"/>
      <c r="L35" s="69"/>
      <c r="M35" s="69"/>
      <c r="N35" s="69"/>
      <c r="O35" s="69"/>
      <c r="P35" s="79" t="s">
        <v>81</v>
      </c>
      <c r="Q35" s="78"/>
      <c r="R35" s="78"/>
      <c r="S35" s="78"/>
      <c r="T35" s="79" t="s">
        <v>89</v>
      </c>
      <c r="U35" s="69"/>
      <c r="V35" s="69"/>
    </row>
    <row r="36" customFormat="false" ht="23.9" hidden="false" customHeight="true" outlineLevel="0" collapsed="false">
      <c r="A36" s="69"/>
      <c r="B36" s="650"/>
      <c r="C36" s="706" t="s">
        <v>912</v>
      </c>
      <c r="D36" s="706"/>
      <c r="E36" s="706"/>
      <c r="F36" s="706"/>
      <c r="G36" s="706"/>
      <c r="H36" s="674" t="s">
        <v>522</v>
      </c>
      <c r="I36" s="675" t="s">
        <v>523</v>
      </c>
      <c r="J36" s="650"/>
      <c r="K36" s="69"/>
      <c r="L36" s="69"/>
      <c r="M36" s="69"/>
      <c r="N36" s="69"/>
      <c r="O36" s="69"/>
      <c r="P36" s="79" t="s">
        <v>83</v>
      </c>
      <c r="Q36" s="78"/>
      <c r="R36" s="78"/>
      <c r="S36" s="78"/>
      <c r="T36" s="79" t="s">
        <v>90</v>
      </c>
      <c r="U36" s="69"/>
      <c r="V36" s="69"/>
    </row>
    <row r="37" customFormat="false" ht="12.75" hidden="false" customHeight="true" outlineLevel="0" collapsed="false">
      <c r="A37" s="69"/>
      <c r="B37" s="650"/>
      <c r="C37" s="676"/>
      <c r="D37" s="676"/>
      <c r="E37" s="676"/>
      <c r="F37" s="676"/>
      <c r="G37" s="676"/>
      <c r="H37" s="707"/>
      <c r="I37" s="708"/>
      <c r="J37" s="650"/>
      <c r="K37" s="69"/>
      <c r="L37" s="69"/>
      <c r="M37" s="69"/>
      <c r="N37" s="69"/>
      <c r="O37" s="69"/>
      <c r="P37" s="79" t="s">
        <v>85</v>
      </c>
      <c r="Q37" s="78"/>
      <c r="R37" s="78"/>
      <c r="S37" s="78"/>
      <c r="T37" s="79" t="s">
        <v>192</v>
      </c>
      <c r="U37" s="69"/>
      <c r="V37" s="69"/>
    </row>
    <row r="38" customFormat="false" ht="12.75" hidden="false" customHeight="true" outlineLevel="0" collapsed="false">
      <c r="A38" s="69"/>
      <c r="B38" s="650"/>
      <c r="C38" s="683"/>
      <c r="D38" s="683"/>
      <c r="E38" s="683"/>
      <c r="F38" s="683"/>
      <c r="G38" s="683"/>
      <c r="H38" s="709"/>
      <c r="I38" s="710"/>
      <c r="J38" s="650"/>
      <c r="K38" s="69"/>
      <c r="L38" s="69"/>
      <c r="M38" s="69"/>
      <c r="N38" s="69"/>
      <c r="O38" s="69"/>
      <c r="P38" s="79" t="s">
        <v>86</v>
      </c>
      <c r="Q38" s="78"/>
      <c r="R38" s="78"/>
      <c r="S38" s="78"/>
      <c r="T38" s="79" t="s">
        <v>91</v>
      </c>
      <c r="U38" s="69"/>
      <c r="V38" s="69"/>
    </row>
    <row r="39" customFormat="false" ht="12.75" hidden="false" customHeight="true" outlineLevel="0" collapsed="false">
      <c r="A39" s="69"/>
      <c r="B39" s="650"/>
      <c r="C39" s="683"/>
      <c r="D39" s="683"/>
      <c r="E39" s="683"/>
      <c r="F39" s="683"/>
      <c r="G39" s="683"/>
      <c r="H39" s="709"/>
      <c r="I39" s="710"/>
      <c r="J39" s="650"/>
      <c r="K39" s="69"/>
      <c r="L39" s="69"/>
      <c r="M39" s="69"/>
      <c r="N39" s="69"/>
      <c r="O39" s="69"/>
      <c r="P39" s="79" t="s">
        <v>87</v>
      </c>
      <c r="Q39" s="78"/>
      <c r="R39" s="78"/>
      <c r="S39" s="78"/>
      <c r="T39" s="79"/>
      <c r="U39" s="69"/>
      <c r="V39" s="69"/>
    </row>
    <row r="40" customFormat="false" ht="12.75" hidden="false" customHeight="true" outlineLevel="0" collapsed="false">
      <c r="A40" s="69"/>
      <c r="B40" s="650"/>
      <c r="C40" s="683"/>
      <c r="D40" s="683"/>
      <c r="E40" s="683"/>
      <c r="F40" s="683"/>
      <c r="G40" s="683"/>
      <c r="H40" s="709"/>
      <c r="I40" s="710"/>
      <c r="J40" s="650"/>
      <c r="K40" s="69"/>
      <c r="L40" s="69"/>
      <c r="M40" s="69"/>
      <c r="N40" s="69"/>
      <c r="O40" s="69"/>
      <c r="P40" s="79" t="s">
        <v>89</v>
      </c>
      <c r="Q40" s="78"/>
      <c r="R40" s="78"/>
      <c r="S40" s="78"/>
      <c r="T40" s="78"/>
      <c r="U40" s="69"/>
      <c r="V40" s="69"/>
    </row>
    <row r="41" customFormat="false" ht="12.75" hidden="false" customHeight="true" outlineLevel="0" collapsed="false">
      <c r="A41" s="69"/>
      <c r="B41" s="650"/>
      <c r="C41" s="683"/>
      <c r="D41" s="683"/>
      <c r="E41" s="683"/>
      <c r="F41" s="683"/>
      <c r="G41" s="683"/>
      <c r="H41" s="709"/>
      <c r="I41" s="710"/>
      <c r="J41" s="650"/>
      <c r="K41" s="69"/>
      <c r="L41" s="69"/>
      <c r="M41" s="69"/>
      <c r="N41" s="69"/>
      <c r="O41" s="69"/>
      <c r="P41" s="79" t="s">
        <v>90</v>
      </c>
      <c r="Q41" s="78"/>
      <c r="R41" s="78"/>
      <c r="S41" s="78"/>
      <c r="T41" s="117"/>
      <c r="U41" s="69"/>
      <c r="V41" s="69"/>
    </row>
    <row r="42" customFormat="false" ht="12.75" hidden="false" customHeight="true" outlineLevel="0" collapsed="false">
      <c r="A42" s="69"/>
      <c r="B42" s="650"/>
      <c r="C42" s="683"/>
      <c r="D42" s="683"/>
      <c r="E42" s="683"/>
      <c r="F42" s="683"/>
      <c r="G42" s="683"/>
      <c r="H42" s="709"/>
      <c r="I42" s="710"/>
      <c r="J42" s="650"/>
      <c r="K42" s="69"/>
      <c r="L42" s="69"/>
      <c r="M42" s="69"/>
      <c r="N42" s="69"/>
      <c r="O42" s="69"/>
      <c r="P42" s="79" t="s">
        <v>192</v>
      </c>
      <c r="Q42" s="78"/>
      <c r="R42" s="78"/>
      <c r="S42" s="78"/>
      <c r="T42" s="78"/>
      <c r="U42" s="69"/>
      <c r="V42" s="69"/>
    </row>
    <row r="43" customFormat="false" ht="12.75" hidden="false" customHeight="true" outlineLevel="0" collapsed="false">
      <c r="A43" s="69"/>
      <c r="B43" s="650"/>
      <c r="C43" s="683"/>
      <c r="D43" s="683"/>
      <c r="E43" s="683"/>
      <c r="F43" s="683"/>
      <c r="G43" s="683"/>
      <c r="H43" s="709"/>
      <c r="I43" s="710"/>
      <c r="J43" s="650"/>
      <c r="K43" s="69"/>
      <c r="L43" s="69"/>
      <c r="M43" s="69"/>
      <c r="N43" s="69"/>
      <c r="O43" s="69"/>
      <c r="P43" s="79" t="s">
        <v>91</v>
      </c>
      <c r="Q43" s="78"/>
      <c r="R43" s="78"/>
      <c r="S43" s="78"/>
      <c r="T43" s="78"/>
      <c r="U43" s="69"/>
      <c r="V43" s="69"/>
    </row>
    <row r="44" customFormat="false" ht="12.75" hidden="false" customHeight="true" outlineLevel="0" collapsed="false">
      <c r="A44" s="69"/>
      <c r="B44" s="650"/>
      <c r="C44" s="683"/>
      <c r="D44" s="683"/>
      <c r="E44" s="683"/>
      <c r="F44" s="683"/>
      <c r="G44" s="683"/>
      <c r="H44" s="709"/>
      <c r="I44" s="710"/>
      <c r="J44" s="650"/>
      <c r="K44" s="69"/>
      <c r="L44" s="69"/>
      <c r="M44" s="69"/>
      <c r="N44" s="69"/>
      <c r="O44" s="69"/>
      <c r="P44" s="78"/>
      <c r="Q44" s="78"/>
      <c r="R44" s="78"/>
      <c r="S44" s="78"/>
      <c r="T44" s="78"/>
      <c r="U44" s="69"/>
      <c r="V44" s="69"/>
    </row>
    <row r="45" customFormat="false" ht="12.75" hidden="false" customHeight="true" outlineLevel="0" collapsed="false">
      <c r="A45" s="69"/>
      <c r="B45" s="650"/>
      <c r="C45" s="683"/>
      <c r="D45" s="683"/>
      <c r="E45" s="683"/>
      <c r="F45" s="683"/>
      <c r="G45" s="683"/>
      <c r="H45" s="709"/>
      <c r="I45" s="710"/>
      <c r="J45" s="650"/>
      <c r="K45" s="69"/>
      <c r="L45" s="69"/>
      <c r="M45" s="69"/>
      <c r="N45" s="69"/>
      <c r="O45" s="69"/>
      <c r="P45" s="78"/>
      <c r="Q45" s="78"/>
      <c r="R45" s="78"/>
      <c r="S45" s="78"/>
      <c r="T45" s="78"/>
      <c r="U45" s="69"/>
      <c r="V45" s="69"/>
    </row>
    <row r="46" customFormat="false" ht="12.75" hidden="false" customHeight="true" outlineLevel="0" collapsed="false">
      <c r="A46" s="69"/>
      <c r="B46" s="650"/>
      <c r="C46" s="683"/>
      <c r="D46" s="683"/>
      <c r="E46" s="683"/>
      <c r="F46" s="683"/>
      <c r="G46" s="683"/>
      <c r="H46" s="709"/>
      <c r="I46" s="710"/>
      <c r="J46" s="650"/>
      <c r="K46" s="69"/>
      <c r="L46" s="69"/>
      <c r="M46" s="69"/>
      <c r="N46" s="69"/>
      <c r="O46" s="69"/>
      <c r="Q46" s="78"/>
      <c r="R46" s="78"/>
      <c r="S46" s="78"/>
      <c r="T46" s="78"/>
      <c r="U46" s="69"/>
      <c r="V46" s="69"/>
    </row>
    <row r="47" customFormat="false" ht="12.75" hidden="false" customHeight="true" outlineLevel="0" collapsed="false">
      <c r="A47" s="69"/>
      <c r="B47" s="650"/>
      <c r="C47" s="711"/>
      <c r="D47" s="712"/>
      <c r="E47" s="712"/>
      <c r="F47" s="712"/>
      <c r="G47" s="712"/>
      <c r="H47" s="713" t="s">
        <v>524</v>
      </c>
      <c r="I47" s="696" t="n">
        <f aca="false">SUM(I37:I46)</f>
        <v>0</v>
      </c>
      <c r="J47" s="650"/>
      <c r="K47" s="69"/>
      <c r="L47" s="69"/>
      <c r="M47" s="69"/>
      <c r="N47" s="69"/>
      <c r="O47" s="69"/>
      <c r="Q47" s="78"/>
      <c r="R47" s="78"/>
      <c r="S47" s="78"/>
      <c r="T47" s="78"/>
      <c r="U47" s="69"/>
      <c r="V47" s="69"/>
    </row>
    <row r="48" customFormat="false" ht="12.75" hidden="false" customHeight="true" outlineLevel="0" collapsed="false">
      <c r="A48" s="69"/>
      <c r="B48" s="650"/>
      <c r="C48" s="714" t="s">
        <v>913</v>
      </c>
      <c r="D48" s="715" t="s">
        <v>510</v>
      </c>
      <c r="E48" s="715" t="s">
        <v>511</v>
      </c>
      <c r="F48" s="715" t="s">
        <v>526</v>
      </c>
      <c r="G48" s="715" t="s">
        <v>527</v>
      </c>
      <c r="H48" s="715" t="s">
        <v>528</v>
      </c>
      <c r="I48" s="716" t="s">
        <v>529</v>
      </c>
      <c r="J48" s="650"/>
      <c r="K48" s="69"/>
      <c r="L48" s="69"/>
      <c r="M48" s="69"/>
      <c r="N48" s="69"/>
      <c r="O48" s="69"/>
      <c r="S48" s="78"/>
      <c r="U48" s="69"/>
      <c r="V48" s="69"/>
    </row>
    <row r="49" customFormat="false" ht="12.75" hidden="false" customHeight="true" outlineLevel="0" collapsed="false">
      <c r="A49" s="69"/>
      <c r="B49" s="650"/>
      <c r="C49" s="676"/>
      <c r="D49" s="678"/>
      <c r="E49" s="678"/>
      <c r="F49" s="681"/>
      <c r="G49" s="681"/>
      <c r="H49" s="717" t="n">
        <f aca="false">F49-G49</f>
        <v>0</v>
      </c>
      <c r="I49" s="708"/>
      <c r="J49" s="650"/>
      <c r="K49" s="69"/>
      <c r="L49" s="69"/>
      <c r="M49" s="69"/>
      <c r="N49" s="69"/>
      <c r="O49" s="69"/>
      <c r="S49" s="78"/>
      <c r="U49" s="69"/>
      <c r="V49" s="69"/>
    </row>
    <row r="50" customFormat="false" ht="12.75" hidden="false" customHeight="true" outlineLevel="0" collapsed="false">
      <c r="A50" s="69"/>
      <c r="B50" s="650"/>
      <c r="C50" s="683"/>
      <c r="D50" s="685"/>
      <c r="E50" s="685"/>
      <c r="F50" s="687"/>
      <c r="G50" s="687"/>
      <c r="H50" s="718" t="n">
        <f aca="false">F50-G50</f>
        <v>0</v>
      </c>
      <c r="I50" s="710"/>
      <c r="J50" s="650"/>
      <c r="K50" s="69"/>
      <c r="L50" s="69"/>
      <c r="M50" s="69"/>
      <c r="N50" s="69"/>
      <c r="O50" s="69"/>
      <c r="U50" s="69"/>
      <c r="V50" s="69"/>
    </row>
    <row r="51" customFormat="false" ht="12.75" hidden="false" customHeight="true" outlineLevel="0" collapsed="false">
      <c r="A51" s="69"/>
      <c r="B51" s="650"/>
      <c r="C51" s="719"/>
      <c r="D51" s="720"/>
      <c r="E51" s="720"/>
      <c r="F51" s="721"/>
      <c r="G51" s="687"/>
      <c r="H51" s="718" t="n">
        <f aca="false">F51-G51</f>
        <v>0</v>
      </c>
      <c r="I51" s="710"/>
      <c r="J51" s="650"/>
      <c r="K51" s="69"/>
      <c r="L51" s="69"/>
      <c r="M51" s="69"/>
      <c r="N51" s="69"/>
      <c r="O51" s="69"/>
      <c r="U51" s="69"/>
      <c r="V51" s="69"/>
    </row>
    <row r="52" customFormat="false" ht="12.75" hidden="false" customHeight="true" outlineLevel="0" collapsed="false">
      <c r="A52" s="69"/>
      <c r="B52" s="650"/>
      <c r="C52" s="722"/>
      <c r="D52" s="650"/>
      <c r="E52" s="650"/>
      <c r="F52" s="650"/>
      <c r="G52" s="693" t="s">
        <v>530</v>
      </c>
      <c r="H52" s="694" t="n">
        <f aca="false">SUM(H49:H51)</f>
        <v>0</v>
      </c>
      <c r="I52" s="696" t="n">
        <f aca="false">SUM(I49:I51)</f>
        <v>0</v>
      </c>
      <c r="J52" s="650"/>
      <c r="K52" s="69"/>
      <c r="L52" s="69"/>
      <c r="M52" s="69"/>
      <c r="N52" s="69"/>
      <c r="O52" s="69"/>
      <c r="U52" s="69"/>
      <c r="V52" s="69"/>
    </row>
    <row r="53" customFormat="false" ht="12.75" hidden="false" customHeight="true" outlineLevel="0" collapsed="false">
      <c r="A53" s="69"/>
      <c r="B53" s="650"/>
      <c r="C53" s="723"/>
      <c r="D53" s="650"/>
      <c r="E53" s="650"/>
      <c r="F53" s="724"/>
      <c r="G53" s="725" t="s">
        <v>531</v>
      </c>
      <c r="H53" s="650"/>
      <c r="I53" s="726" t="n">
        <f aca="false">I47+I52</f>
        <v>0</v>
      </c>
      <c r="J53" s="650"/>
      <c r="K53" s="69"/>
      <c r="L53" s="69"/>
      <c r="M53" s="69"/>
      <c r="N53" s="69"/>
      <c r="O53" s="69"/>
      <c r="U53" s="69"/>
      <c r="V53" s="69"/>
    </row>
    <row r="54" customFormat="false" ht="12.75" hidden="false" customHeight="true" outlineLevel="0" collapsed="false">
      <c r="A54" s="69"/>
      <c r="B54" s="650"/>
      <c r="C54" s="698"/>
      <c r="D54" s="699"/>
      <c r="E54" s="699"/>
      <c r="F54" s="727"/>
      <c r="G54" s="700" t="s">
        <v>516</v>
      </c>
      <c r="H54" s="1277" t="s">
        <v>532</v>
      </c>
      <c r="I54" s="702" t="s">
        <v>533</v>
      </c>
      <c r="J54" s="650"/>
      <c r="K54" s="69"/>
      <c r="L54" s="69"/>
      <c r="M54" s="69"/>
      <c r="N54" s="69"/>
      <c r="O54" s="69"/>
      <c r="U54" s="69"/>
      <c r="V54" s="69"/>
    </row>
    <row r="55" customFormat="false" ht="12.75" hidden="false" customHeight="true" outlineLevel="0" collapsed="false">
      <c r="A55" s="69"/>
      <c r="B55" s="650"/>
      <c r="C55" s="728" t="s">
        <v>534</v>
      </c>
      <c r="D55" s="728"/>
      <c r="E55" s="728"/>
      <c r="F55" s="728"/>
      <c r="G55" s="728"/>
      <c r="H55" s="728"/>
      <c r="I55" s="728"/>
      <c r="J55" s="650"/>
      <c r="K55" s="69"/>
      <c r="L55" s="69"/>
      <c r="M55" s="69"/>
      <c r="N55" s="69"/>
      <c r="O55" s="69"/>
      <c r="U55" s="69"/>
      <c r="V55" s="69"/>
    </row>
    <row r="56" customFormat="false" ht="12.75" hidden="false" customHeight="true" outlineLevel="0" collapsed="false">
      <c r="A56" s="69"/>
      <c r="B56" s="650"/>
      <c r="C56" s="301" t="s">
        <v>914</v>
      </c>
      <c r="D56" s="301"/>
      <c r="E56" s="301"/>
      <c r="F56" s="301"/>
      <c r="G56" s="301"/>
      <c r="H56" s="301"/>
      <c r="I56" s="301"/>
      <c r="J56" s="650"/>
      <c r="K56" s="69"/>
      <c r="L56" s="69"/>
      <c r="M56" s="69"/>
      <c r="N56" s="69"/>
      <c r="O56" s="69"/>
      <c r="U56" s="69"/>
      <c r="V56" s="69"/>
    </row>
    <row r="57" customFormat="false" ht="14.25" hidden="false" customHeight="false" outlineLevel="0" collapsed="false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U57" s="69"/>
      <c r="V57" s="69"/>
    </row>
    <row r="58" customFormat="false" ht="14.25" hidden="false" customHeight="false" outlineLevel="0" collapsed="false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U58" s="69"/>
      <c r="V58" s="69"/>
    </row>
    <row r="59" customFormat="false" ht="14.25" hidden="false" customHeight="false" outlineLevel="0" collapsed="false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U59" s="69"/>
      <c r="V59" s="69"/>
    </row>
  </sheetData>
  <sheetProtection algorithmName="SHA-512" hashValue="SYt//qdNleHP8uF+OYHTPXRucxK0c8g9+AcJMabc8tHI9s7tk2DaJcca9MZe/nTgAT48FxJDh3vS925fDr8OAg==" saltValue="HEUys+45fNHwrwtgud1JyQ==" spinCount="100000" sheet="true" objects="true" scenarios="true"/>
  <mergeCells count="30">
    <mergeCell ref="C3:I3"/>
    <mergeCell ref="C4:I4"/>
    <mergeCell ref="C6:I6"/>
    <mergeCell ref="C8:I8"/>
    <mergeCell ref="C10:I10"/>
    <mergeCell ref="C14:I14"/>
    <mergeCell ref="C15:I15"/>
    <mergeCell ref="C16:I16"/>
    <mergeCell ref="C17:C19"/>
    <mergeCell ref="D17:D19"/>
    <mergeCell ref="E17:E19"/>
    <mergeCell ref="F17:F19"/>
    <mergeCell ref="G17:G19"/>
    <mergeCell ref="H17:H19"/>
    <mergeCell ref="I17:I19"/>
    <mergeCell ref="G32:G33"/>
    <mergeCell ref="C35:I35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55:I55"/>
    <mergeCell ref="C56:I56"/>
  </mergeCells>
  <conditionalFormatting sqref="G20:G31">
    <cfRule type="expression" priority="2" aboveAverage="0" equalAverage="0" bottom="0" percent="0" rank="0" text="" dxfId="57">
      <formula>$F20&gt;0</formula>
    </cfRule>
  </conditionalFormatting>
  <conditionalFormatting sqref="F20:F31">
    <cfRule type="expression" priority="3" aboveAverage="0" equalAverage="0" bottom="0" percent="0" rank="0" text="" dxfId="58">
      <formula>$G20&gt;0</formula>
    </cfRule>
  </conditionalFormatting>
  <dataValidations count="5">
    <dataValidation allowBlank="true" error="Enter a dollar amount greater than zero." errorStyle="stop" operator="greaterThanOrEqual" showDropDown="false" showErrorMessage="true" showInputMessage="true" sqref="H20:H31" type="decimal">
      <formula1>-9.99999999999999E+016</formula1>
      <formula2>0</formula2>
    </dataValidation>
    <dataValidation allowBlank="true" error="Enter a dollar amount greater than $500.00." errorStyle="stop" operator="greaterThanOrEqual" showDropDown="false" showErrorMessage="true" showInputMessage="true" sqref="G20:G31" type="decimal">
      <formula1>500</formula1>
      <formula2>0</formula2>
    </dataValidation>
    <dataValidation allowBlank="true" error="Enter a whole quantity greater than zero." errorStyle="stop" operator="greaterThan" showDropDown="false" showErrorMessage="true" showInputMessage="true" sqref="D20:D31 H37:H46 D49:D51" type="whole">
      <formula1>0</formula1>
      <formula2>0</formula2>
    </dataValidation>
    <dataValidation allowBlank="true" error="Enter full year greater than 1960." errorStyle="stop" operator="greaterThan" showDropDown="false" showErrorMessage="true" showInputMessage="true" sqref="E20:E31 E49:E51" type="whole">
      <formula1>1960</formula1>
      <formula2>0</formula2>
    </dataValidation>
    <dataValidation allowBlank="true" error="Enter a dollar amount greater than zero." errorStyle="stop" operator="greaterThanOrEqual" showDropDown="false" showErrorMessage="true" showInputMessage="true" sqref="F20:F31 I37:I46 F49:G51 I49:I51" type="decimal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tru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11" activeCellId="0" sqref="P11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1" min="1" style="1" width="5.62"/>
    <col collapsed="false" customWidth="true" hidden="false" outlineLevel="0" max="3" min="2" style="1" width="3.62"/>
    <col collapsed="false" customWidth="true" hidden="false" outlineLevel="0" max="4" min="4" style="1" width="4.38"/>
    <col collapsed="false" customWidth="true" hidden="false" outlineLevel="0" max="5" min="5" style="1" width="25.62"/>
    <col collapsed="false" customWidth="true" hidden="false" outlineLevel="0" max="6" min="6" style="1" width="7.5"/>
    <col collapsed="false" customWidth="true" hidden="false" outlineLevel="0" max="7" min="7" style="1" width="9.38"/>
    <col collapsed="false" customWidth="false" hidden="false" outlineLevel="0" max="13" min="8" style="1" width="9.13"/>
    <col collapsed="false" customWidth="true" hidden="false" outlineLevel="0" max="15" min="14" style="1" width="3.62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649"/>
      <c r="B1" s="64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69"/>
    </row>
    <row r="2" customFormat="false" ht="14.25" hidden="false" customHeight="false" outlineLevel="0" collapsed="false">
      <c r="A2" s="729"/>
      <c r="B2" s="729"/>
      <c r="C2" s="730"/>
      <c r="D2" s="81" t="str">
        <f aca="false">Contents!B59</f>
        <v>Version: AS L 6 LARGE locked LOCAL</v>
      </c>
      <c r="E2" s="730"/>
      <c r="F2" s="730"/>
      <c r="G2" s="730"/>
      <c r="H2" s="730"/>
      <c r="I2" s="730"/>
      <c r="J2" s="730"/>
      <c r="K2" s="730"/>
      <c r="L2" s="730"/>
      <c r="M2" s="730"/>
      <c r="N2" s="730"/>
      <c r="O2" s="729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729"/>
    </row>
    <row r="3" customFormat="false" ht="14.25" hidden="false" customHeight="false" outlineLevel="0" collapsed="false">
      <c r="A3" s="653"/>
      <c r="B3" s="653"/>
      <c r="C3" s="654"/>
      <c r="D3" s="655" t="str">
        <f aca="false">Contents!$E$3</f>
        <v>THE SOCIETY FOR CREATIVE ANACHRONISM, INC.</v>
      </c>
      <c r="E3" s="655"/>
      <c r="F3" s="655"/>
      <c r="G3" s="655"/>
      <c r="H3" s="655"/>
      <c r="I3" s="655"/>
      <c r="J3" s="655"/>
      <c r="K3" s="655"/>
      <c r="L3" s="655"/>
      <c r="M3" s="655"/>
      <c r="N3" s="654"/>
      <c r="O3" s="653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653"/>
    </row>
    <row r="4" customFormat="false" ht="14.25" hidden="false" customHeight="false" outlineLevel="0" collapsed="false">
      <c r="A4" s="653"/>
      <c r="B4" s="653"/>
      <c r="C4" s="654"/>
      <c r="D4" s="655" t="str">
        <f aca="false">Contents!$E$4</f>
        <v>FINANCIAL REPORT</v>
      </c>
      <c r="E4" s="655"/>
      <c r="F4" s="655"/>
      <c r="G4" s="655"/>
      <c r="H4" s="655"/>
      <c r="I4" s="655"/>
      <c r="J4" s="655"/>
      <c r="K4" s="655"/>
      <c r="L4" s="655"/>
      <c r="M4" s="655"/>
      <c r="N4" s="654"/>
      <c r="O4" s="69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69"/>
    </row>
    <row r="5" customFormat="false" ht="14.25" hidden="false" customHeight="false" outlineLevel="0" collapsed="false">
      <c r="A5" s="69"/>
      <c r="B5" s="69"/>
      <c r="C5" s="650"/>
      <c r="D5" s="657"/>
      <c r="E5" s="650"/>
      <c r="F5" s="650"/>
      <c r="G5" s="650"/>
      <c r="H5" s="650"/>
      <c r="I5" s="650"/>
      <c r="J5" s="650"/>
      <c r="K5" s="650"/>
      <c r="L5" s="657"/>
      <c r="M5" s="657"/>
      <c r="N5" s="650"/>
      <c r="O5" s="69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69"/>
    </row>
    <row r="6" customFormat="false" ht="14.25" hidden="false" customHeight="false" outlineLevel="0" collapsed="false">
      <c r="A6" s="69"/>
      <c r="B6" s="69"/>
      <c r="C6" s="650"/>
      <c r="D6" s="658" t="str">
        <f aca="false">Contents!B58</f>
        <v>Branch:   SCA, Inc.- Middle Kingdom                                               Period:  1/01/2025             to     12/31/2025            .</v>
      </c>
      <c r="E6" s="658"/>
      <c r="F6" s="658"/>
      <c r="G6" s="658"/>
      <c r="H6" s="658"/>
      <c r="I6" s="658"/>
      <c r="J6" s="658"/>
      <c r="K6" s="658"/>
      <c r="L6" s="658"/>
      <c r="M6" s="658"/>
      <c r="N6" s="650"/>
      <c r="O6" s="729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729"/>
    </row>
    <row r="7" customFormat="false" ht="14.25" hidden="false" customHeight="false" outlineLevel="0" collapsed="false">
      <c r="A7" s="729"/>
      <c r="B7" s="729"/>
      <c r="C7" s="730"/>
      <c r="D7" s="731"/>
      <c r="E7" s="730"/>
      <c r="F7" s="730"/>
      <c r="G7" s="730"/>
      <c r="H7" s="730"/>
      <c r="I7" s="730"/>
      <c r="J7" s="730"/>
      <c r="K7" s="730"/>
      <c r="L7" s="731"/>
      <c r="M7" s="731"/>
      <c r="N7" s="730"/>
      <c r="O7" s="69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69"/>
    </row>
    <row r="8" customFormat="false" ht="17.35" hidden="false" customHeight="false" outlineLevel="0" collapsed="false">
      <c r="A8" s="69"/>
      <c r="B8" s="69"/>
      <c r="C8" s="650"/>
      <c r="D8" s="659" t="s">
        <v>915</v>
      </c>
      <c r="E8" s="659"/>
      <c r="F8" s="659"/>
      <c r="G8" s="659"/>
      <c r="H8" s="659"/>
      <c r="I8" s="659"/>
      <c r="J8" s="659"/>
      <c r="K8" s="659"/>
      <c r="L8" s="659"/>
      <c r="M8" s="659"/>
      <c r="N8" s="650"/>
      <c r="O8" s="729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729"/>
    </row>
    <row r="9" customFormat="false" ht="14.25" hidden="false" customHeight="false" outlineLevel="0" collapsed="false">
      <c r="A9" s="729"/>
      <c r="B9" s="729"/>
      <c r="C9" s="730"/>
      <c r="D9" s="732" t="s">
        <v>916</v>
      </c>
      <c r="E9" s="732"/>
      <c r="F9" s="732"/>
      <c r="G9" s="732"/>
      <c r="H9" s="732"/>
      <c r="I9" s="732"/>
      <c r="J9" s="732"/>
      <c r="K9" s="732"/>
      <c r="L9" s="732"/>
      <c r="M9" s="732"/>
      <c r="N9" s="730"/>
      <c r="O9" s="69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69"/>
    </row>
    <row r="10" customFormat="false" ht="14.25" hidden="false" customHeight="false" outlineLevel="0" collapsed="false">
      <c r="A10" s="69"/>
      <c r="B10" s="69"/>
      <c r="C10" s="650"/>
      <c r="D10" s="733"/>
      <c r="E10" s="731"/>
      <c r="F10" s="731"/>
      <c r="G10" s="731"/>
      <c r="H10" s="731"/>
      <c r="I10" s="731"/>
      <c r="J10" s="731"/>
      <c r="K10" s="731"/>
      <c r="L10" s="733"/>
      <c r="M10" s="731"/>
      <c r="N10" s="730"/>
      <c r="O10" s="69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69"/>
    </row>
    <row r="11" customFormat="false" ht="15" hidden="false" customHeight="false" outlineLevel="0" collapsed="false">
      <c r="A11" s="69"/>
      <c r="B11" s="69"/>
      <c r="C11" s="650"/>
      <c r="D11" s="734" t="s">
        <v>538</v>
      </c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9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69"/>
    </row>
    <row r="12" customFormat="false" ht="14.25" hidden="false" customHeight="false" outlineLevel="0" collapsed="false">
      <c r="A12" s="69"/>
      <c r="B12" s="69"/>
      <c r="C12" s="650"/>
      <c r="D12" s="735" t="s">
        <v>917</v>
      </c>
      <c r="E12" s="735"/>
      <c r="F12" s="735"/>
      <c r="G12" s="735"/>
      <c r="H12" s="735"/>
      <c r="I12" s="735"/>
      <c r="J12" s="735"/>
      <c r="K12" s="735"/>
      <c r="L12" s="735"/>
      <c r="M12" s="735"/>
      <c r="N12" s="650"/>
      <c r="O12" s="69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69"/>
    </row>
    <row r="13" customFormat="false" ht="46.15" hidden="false" customHeight="false" outlineLevel="0" collapsed="false">
      <c r="A13" s="736" t="s">
        <v>540</v>
      </c>
      <c r="B13" s="69"/>
      <c r="C13" s="650"/>
      <c r="D13" s="737" t="s">
        <v>541</v>
      </c>
      <c r="E13" s="738" t="s">
        <v>542</v>
      </c>
      <c r="F13" s="739" t="s">
        <v>543</v>
      </c>
      <c r="G13" s="739" t="s">
        <v>544</v>
      </c>
      <c r="H13" s="740" t="s">
        <v>545</v>
      </c>
      <c r="I13" s="740" t="s">
        <v>546</v>
      </c>
      <c r="J13" s="740" t="s">
        <v>547</v>
      </c>
      <c r="K13" s="740" t="s">
        <v>548</v>
      </c>
      <c r="L13" s="740" t="s">
        <v>549</v>
      </c>
      <c r="M13" s="741" t="s">
        <v>550</v>
      </c>
      <c r="N13" s="650"/>
      <c r="O13" s="69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69"/>
    </row>
    <row r="14" customFormat="false" ht="14.25" hidden="false" customHeight="false" outlineLevel="0" collapsed="false">
      <c r="A14" s="742"/>
      <c r="B14" s="69"/>
      <c r="C14" s="650"/>
      <c r="D14" s="743" t="s">
        <v>551</v>
      </c>
      <c r="E14" s="744" t="s">
        <v>552</v>
      </c>
      <c r="F14" s="745" t="n">
        <v>1</v>
      </c>
      <c r="G14" s="745" t="n">
        <v>2017</v>
      </c>
      <c r="H14" s="746" t="n">
        <f aca="true">IF(G14=0,"",
IF(AND(Contents!$C$11&gt;0,Contents!$C$11-$G14&lt;6,Contents!$C$11-$G14&gt;=0),
OFFSET(Contents!$B$75,0,(Contents!$C$11-$G14)),0))</f>
        <v>0</v>
      </c>
      <c r="I14" s="747" t="n">
        <f aca="false">IF(AND(Contents!$C$13="Sequential", G14&gt;0, G14=Contents!$C$11, Contents!$C$12&gt;1, Contents!$C$12&gt;A14), J14,
IF(AND(G14&gt;0,G14&lt;Contents!$C$11), J14,0))</f>
        <v>5900</v>
      </c>
      <c r="J14" s="748" t="n">
        <v>5900</v>
      </c>
      <c r="K14" s="747" t="n">
        <f aca="true">(IF(AND(Contents!$C$11&gt;0,Contents!$C$11-$G14&lt;6,Contents!$C$11-$G14&gt;=0),
ROUND(OFFSET(Contents!$B$73,0,(Contents!$C$11-$G14)-1)*J14,2),
IF(AND(Contents!$C$11&gt;0,J14&gt;0),J14,0)))</f>
        <v>5900</v>
      </c>
      <c r="L14" s="747" t="n">
        <f aca="false">IF(H14="",0,ROUND(H14*J14*IF(Contents!$C$12=4,1,0),2))</f>
        <v>0</v>
      </c>
      <c r="M14" s="749" t="n">
        <f aca="false">IF(H14="",0,K14+L14)</f>
        <v>5900</v>
      </c>
      <c r="N14" s="650"/>
      <c r="O14" s="69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69"/>
    </row>
    <row r="15" customFormat="false" ht="14.25" hidden="false" customHeight="false" outlineLevel="0" collapsed="false">
      <c r="A15" s="742"/>
      <c r="B15" s="69"/>
      <c r="C15" s="650"/>
      <c r="D15" s="750" t="s">
        <v>551</v>
      </c>
      <c r="E15" s="751" t="s">
        <v>553</v>
      </c>
      <c r="F15" s="685" t="n">
        <v>1</v>
      </c>
      <c r="G15" s="685" t="n">
        <v>2017</v>
      </c>
      <c r="H15" s="752" t="n">
        <f aca="true">IF(G15=0,"",
IF(AND(Contents!$C$11&gt;0,Contents!$C$11-$G15&lt;6,Contents!$C$11-$G15&gt;=0),
OFFSET(Contents!$B$75,0,(Contents!$C$11-$G15)),0))</f>
        <v>0</v>
      </c>
      <c r="I15" s="753" t="n">
        <f aca="false">IF(AND(Contents!$C$13="Sequential", G15&gt;0, G15=Contents!$C$11, Contents!$C$12&gt;1, Contents!$C$12&gt;A15), J15,
IF(AND(G15&gt;0,G15&lt;Contents!$C$11), J15,0))</f>
        <v>6300</v>
      </c>
      <c r="J15" s="754" t="n">
        <v>6300</v>
      </c>
      <c r="K15" s="753" t="n">
        <f aca="true">(IF(AND(Contents!$C$11&gt;0,Contents!$C$11-$G15&lt;6,Contents!$C$11-$G15&gt;=0),
ROUND(OFFSET(Contents!$B$73,0,(Contents!$C$11-$G15)-1)*J15,2),
IF(AND(Contents!$C$11&gt;0,J15&gt;0),J15,0)))</f>
        <v>6300</v>
      </c>
      <c r="L15" s="753" t="n">
        <f aca="false">IF(H15="",0,ROUND(H15*J15*IF(Contents!$C$12=4,1,0),2))</f>
        <v>0</v>
      </c>
      <c r="M15" s="755" t="n">
        <f aca="false">IF(H15="",0,K15+L15)</f>
        <v>6300</v>
      </c>
      <c r="N15" s="650"/>
      <c r="O15" s="69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69"/>
    </row>
    <row r="16" customFormat="false" ht="14.25" hidden="false" customHeight="false" outlineLevel="0" collapsed="false">
      <c r="A16" s="742"/>
      <c r="B16" s="69"/>
      <c r="C16" s="650"/>
      <c r="D16" s="750"/>
      <c r="E16" s="751"/>
      <c r="F16" s="685"/>
      <c r="G16" s="685"/>
      <c r="H16" s="752" t="str">
        <f aca="true">IF(G16=0,"",
IF(AND(Contents!$C$11&gt;0,Contents!$C$11-$G16&lt;6,Contents!$C$11-$G16&gt;=0),
OFFSET(Contents!$B$75,0,(Contents!$C$11-$G16)),0))</f>
        <v/>
      </c>
      <c r="I16" s="753" t="n">
        <f aca="false">IF(AND(Contents!$C$13="Sequential", G16&gt;0, G16=Contents!$C$11, Contents!$C$12&gt;1, Contents!$C$12&gt;A16), J16,
IF(AND(G16&gt;0,G16&lt;Contents!$C$11), J16,0))</f>
        <v>0</v>
      </c>
      <c r="J16" s="754"/>
      <c r="K16" s="753" t="n">
        <f aca="true">(IF(AND(Contents!$C$11&gt;0,Contents!$C$11-$G16&lt;6,Contents!$C$11-$G16&gt;=0),
ROUND(OFFSET(Contents!$B$73,0,(Contents!$C$11-$G16)-1)*J16,2),
IF(AND(Contents!$C$11&gt;0,J16&gt;0),J16,0)))</f>
        <v>0</v>
      </c>
      <c r="L16" s="753" t="n">
        <f aca="false">IF(H16="",0,ROUND(H16*J16*IF(Contents!$C$12=4,1,0),2))</f>
        <v>0</v>
      </c>
      <c r="M16" s="755" t="n">
        <f aca="false">IF(H16="",0,K16+L16)</f>
        <v>0</v>
      </c>
      <c r="N16" s="650"/>
      <c r="O16" s="69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69"/>
    </row>
    <row r="17" customFormat="false" ht="14.25" hidden="false" customHeight="false" outlineLevel="0" collapsed="false">
      <c r="A17" s="742"/>
      <c r="B17" s="69"/>
      <c r="C17" s="650"/>
      <c r="D17" s="750"/>
      <c r="E17" s="751"/>
      <c r="F17" s="685"/>
      <c r="G17" s="685"/>
      <c r="H17" s="752" t="str">
        <f aca="true">IF(G17=0,"",
IF(AND(Contents!$C$11&gt;0,Contents!$C$11-$G17&lt;6,Contents!$C$11-$G17&gt;=0),
OFFSET(Contents!$B$75,0,(Contents!$C$11-$G17)),0))</f>
        <v/>
      </c>
      <c r="I17" s="753" t="n">
        <f aca="false">IF(AND(Contents!$C$13="Sequential", G17&gt;0, G17=Contents!$C$11, Contents!$C$12&gt;1, Contents!$C$12&gt;A17), J17,
IF(AND(G17&gt;0,G17&lt;Contents!$C$11), J17,0))</f>
        <v>0</v>
      </c>
      <c r="J17" s="754"/>
      <c r="K17" s="753" t="n">
        <f aca="true">(IF(AND(Contents!$C$11&gt;0,Contents!$C$11-$G17&lt;6,Contents!$C$11-$G17&gt;=0),
ROUND(OFFSET(Contents!$B$73,0,(Contents!$C$11-$G17)-1)*J17,2),
IF(AND(Contents!$C$11&gt;0,J17&gt;0),J17,0)))</f>
        <v>0</v>
      </c>
      <c r="L17" s="753" t="n">
        <f aca="false">IF(H17="",0,ROUND(H17*J17*IF(Contents!$C$12=4,1,0),2))</f>
        <v>0</v>
      </c>
      <c r="M17" s="755" t="n">
        <f aca="false">IF(H17="",0,K17+L17)</f>
        <v>0</v>
      </c>
      <c r="N17" s="650"/>
      <c r="O17" s="69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69"/>
    </row>
    <row r="18" customFormat="false" ht="14.25" hidden="false" customHeight="false" outlineLevel="0" collapsed="false">
      <c r="A18" s="742"/>
      <c r="B18" s="69"/>
      <c r="C18" s="650"/>
      <c r="D18" s="750"/>
      <c r="E18" s="751"/>
      <c r="F18" s="685"/>
      <c r="G18" s="685"/>
      <c r="H18" s="752" t="str">
        <f aca="true">IF(G18=0,"",
IF(AND(Contents!$C$11&gt;0,Contents!$C$11-$G18&lt;6,Contents!$C$11-$G18&gt;=0),
OFFSET(Contents!$B$75,0,(Contents!$C$11-$G18)),0))</f>
        <v/>
      </c>
      <c r="I18" s="753" t="n">
        <f aca="false">IF(AND(Contents!$C$13="Sequential", G18&gt;0, G18=Contents!$C$11, Contents!$C$12&gt;1, Contents!$C$12&gt;A18), J18,
IF(AND(G18&gt;0,G18&lt;Contents!$C$11), J18,0))</f>
        <v>0</v>
      </c>
      <c r="J18" s="754"/>
      <c r="K18" s="753" t="n">
        <f aca="true">(IF(AND(Contents!$C$11&gt;0,Contents!$C$11-$G18&lt;6,Contents!$C$11-$G18&gt;=0),
ROUND(OFFSET(Contents!$B$73,0,(Contents!$C$11-$G18)-1)*J18,2),
IF(AND(Contents!$C$11&gt;0,J18&gt;0),J18,0)))</f>
        <v>0</v>
      </c>
      <c r="L18" s="753" t="n">
        <f aca="false">IF(H18="",0,ROUND(H18*J18*IF(Contents!$C$12=4,1,0),2))</f>
        <v>0</v>
      </c>
      <c r="M18" s="755" t="n">
        <f aca="false">IF(H18="",0,K18+L18)</f>
        <v>0</v>
      </c>
      <c r="N18" s="650"/>
      <c r="O18" s="69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  <c r="U18" s="69"/>
    </row>
    <row r="19" customFormat="false" ht="14.25" hidden="false" customHeight="false" outlineLevel="0" collapsed="false">
      <c r="A19" s="742"/>
      <c r="B19" s="69"/>
      <c r="C19" s="650"/>
      <c r="D19" s="750"/>
      <c r="E19" s="751"/>
      <c r="F19" s="685"/>
      <c r="G19" s="685"/>
      <c r="H19" s="752" t="str">
        <f aca="true">IF(G19=0,"",
IF(AND(Contents!$C$11&gt;0,Contents!$C$11-$G19&lt;6,Contents!$C$11-$G19&gt;=0),
OFFSET(Contents!$B$75,0,(Contents!$C$11-$G19)),0))</f>
        <v/>
      </c>
      <c r="I19" s="753" t="n">
        <f aca="false">IF(AND(Contents!$C$13="Sequential", G19&gt;0, G19=Contents!$C$11, Contents!$C$12&gt;1, Contents!$C$12&gt;A19), J19,
IF(AND(G19&gt;0,G19&lt;Contents!$C$11), J19,0))</f>
        <v>0</v>
      </c>
      <c r="J19" s="754"/>
      <c r="K19" s="753" t="n">
        <f aca="true">(IF(AND(Contents!$C$11&gt;0,Contents!$C$11-$G19&lt;6,Contents!$C$11-$G19&gt;=0),
ROUND(OFFSET(Contents!$B$73,0,(Contents!$C$11-$G19)-1)*J19,2),
IF(AND(Contents!$C$11&gt;0,J19&gt;0),J19,0)))</f>
        <v>0</v>
      </c>
      <c r="L19" s="753" t="n">
        <f aca="false">IF(H19="",0,ROUND(H19*J19*IF(Contents!$C$12=4,1,0),2))</f>
        <v>0</v>
      </c>
      <c r="M19" s="755" t="n">
        <f aca="false">IF(H19="",0,K19+L19)</f>
        <v>0</v>
      </c>
      <c r="N19" s="650"/>
      <c r="O19" s="69"/>
      <c r="P19" s="79" t="s">
        <v>58</v>
      </c>
      <c r="Q19" s="79" t="s">
        <v>58</v>
      </c>
      <c r="R19" s="78"/>
      <c r="S19" s="79" t="s">
        <v>70</v>
      </c>
      <c r="T19" s="79" t="s">
        <v>58</v>
      </c>
      <c r="U19" s="69"/>
    </row>
    <row r="20" customFormat="false" ht="14.25" hidden="false" customHeight="false" outlineLevel="0" collapsed="false">
      <c r="A20" s="742"/>
      <c r="B20" s="69"/>
      <c r="C20" s="650"/>
      <c r="D20" s="750"/>
      <c r="E20" s="751"/>
      <c r="F20" s="685"/>
      <c r="G20" s="685"/>
      <c r="H20" s="752" t="str">
        <f aca="true">IF(G20=0,"",
IF(AND(Contents!$C$11&gt;0,Contents!$C$11-$G20&lt;6,Contents!$C$11-$G20&gt;=0),
OFFSET(Contents!$B$75,0,(Contents!$C$11-$G20)),0))</f>
        <v/>
      </c>
      <c r="I20" s="753" t="n">
        <f aca="false">IF(AND(Contents!$C$13="Sequential", G20&gt;0, G20=Contents!$C$11, Contents!$C$12&gt;1, Contents!$C$12&gt;A20), J20,
IF(AND(G20&gt;0,G20&lt;Contents!$C$11), J20,0))</f>
        <v>0</v>
      </c>
      <c r="J20" s="754"/>
      <c r="K20" s="753" t="n">
        <f aca="true">(IF(AND(Contents!$C$11&gt;0,Contents!$C$11-$G20&lt;6,Contents!$C$11-$G20&gt;=0),
ROUND(OFFSET(Contents!$B$73,0,(Contents!$C$11-$G20)-1)*J20,2),
IF(AND(Contents!$C$11&gt;0,J20&gt;0),J20,0)))</f>
        <v>0</v>
      </c>
      <c r="L20" s="753" t="n">
        <f aca="false">IF(H20="",0,ROUND(H20*J20*IF(Contents!$C$12=4,1,0),2))</f>
        <v>0</v>
      </c>
      <c r="M20" s="755" t="n">
        <f aca="false">IF(H20="",0,K20+L20)</f>
        <v>0</v>
      </c>
      <c r="N20" s="650"/>
      <c r="O20" s="69"/>
      <c r="P20" s="79" t="s">
        <v>60</v>
      </c>
      <c r="Q20" s="79" t="s">
        <v>60</v>
      </c>
      <c r="R20" s="78"/>
      <c r="S20" s="79" t="s">
        <v>174</v>
      </c>
      <c r="T20" s="79" t="s">
        <v>60</v>
      </c>
      <c r="U20" s="69"/>
    </row>
    <row r="21" customFormat="false" ht="14.25" hidden="false" customHeight="false" outlineLevel="0" collapsed="false">
      <c r="A21" s="742"/>
      <c r="B21" s="69"/>
      <c r="C21" s="650"/>
      <c r="D21" s="750"/>
      <c r="E21" s="751"/>
      <c r="F21" s="685"/>
      <c r="G21" s="685"/>
      <c r="H21" s="752" t="str">
        <f aca="true">IF(G21=0,"",
IF(AND(Contents!$C$11&gt;0,Contents!$C$11-$G21&lt;6,Contents!$C$11-$G21&gt;=0),
OFFSET(Contents!$B$75,0,(Contents!$C$11-$G21)),0))</f>
        <v/>
      </c>
      <c r="I21" s="753" t="n">
        <f aca="false">IF(AND(Contents!$C$13="Sequential", G21&gt;0, G21=Contents!$C$11, Contents!$C$12&gt;1, Contents!$C$12&gt;A21), J21,
IF(AND(G21&gt;0,G21&lt;Contents!$C$11), J21,0))</f>
        <v>0</v>
      </c>
      <c r="J21" s="754"/>
      <c r="K21" s="753" t="n">
        <f aca="true">(IF(AND(Contents!$C$11&gt;0,Contents!$C$11-$G21&lt;6,Contents!$C$11-$G21&gt;=0),
ROUND(OFFSET(Contents!$B$73,0,(Contents!$C$11-$G21)-1)*J21,2),
IF(AND(Contents!$C$11&gt;0,J21&gt;0),J21,0)))</f>
        <v>0</v>
      </c>
      <c r="L21" s="753" t="n">
        <f aca="false">IF(H21="",0,ROUND(H21*J21*IF(Contents!$C$12=4,1,0),2))</f>
        <v>0</v>
      </c>
      <c r="M21" s="755" t="n">
        <f aca="false">IF(H21="",0,K21+L21)</f>
        <v>0</v>
      </c>
      <c r="N21" s="650"/>
      <c r="O21" s="69"/>
      <c r="P21" s="79" t="s">
        <v>61</v>
      </c>
      <c r="Q21" s="79" t="s">
        <v>61</v>
      </c>
      <c r="R21" s="78"/>
      <c r="S21" s="79" t="s">
        <v>177</v>
      </c>
      <c r="T21" s="79" t="s">
        <v>61</v>
      </c>
      <c r="U21" s="69"/>
    </row>
    <row r="22" customFormat="false" ht="14.25" hidden="false" customHeight="false" outlineLevel="0" collapsed="false">
      <c r="A22" s="742"/>
      <c r="B22" s="69"/>
      <c r="C22" s="650"/>
      <c r="D22" s="750"/>
      <c r="E22" s="751"/>
      <c r="F22" s="685"/>
      <c r="G22" s="685"/>
      <c r="H22" s="752" t="str">
        <f aca="true">IF(G22=0,"",
IF(AND(Contents!$C$11&gt;0,Contents!$C$11-$G22&lt;6,Contents!$C$11-$G22&gt;=0),
OFFSET(Contents!$B$75,0,(Contents!$C$11-$G22)),0))</f>
        <v/>
      </c>
      <c r="I22" s="753" t="n">
        <f aca="false">IF(AND(Contents!$C$13="Sequential", G22&gt;0, G22=Contents!$C$11, Contents!$C$12&gt;1, Contents!$C$12&gt;A22), J22,
IF(AND(G22&gt;0,G22&lt;Contents!$C$11), J22,0))</f>
        <v>0</v>
      </c>
      <c r="J22" s="754"/>
      <c r="K22" s="753" t="n">
        <f aca="true">(IF(AND(Contents!$C$11&gt;0,Contents!$C$11-$G22&lt;6,Contents!$C$11-$G22&gt;=0),
ROUND(OFFSET(Contents!$B$73,0,(Contents!$C$11-$G22)-1)*J22,2),
IF(AND(Contents!$C$11&gt;0,J22&gt;0),J22,0)))</f>
        <v>0</v>
      </c>
      <c r="L22" s="753" t="n">
        <f aca="false">IF(H22="",0,ROUND(H22*J22*IF(Contents!$C$12=4,1,0),2))</f>
        <v>0</v>
      </c>
      <c r="M22" s="755" t="n">
        <f aca="false">IF(H22="",0,K22+L22)</f>
        <v>0</v>
      </c>
      <c r="N22" s="650"/>
      <c r="O22" s="69"/>
      <c r="P22" s="79" t="s">
        <v>64</v>
      </c>
      <c r="Q22" s="79" t="s">
        <v>64</v>
      </c>
      <c r="R22" s="78"/>
      <c r="S22" s="79" t="s">
        <v>178</v>
      </c>
      <c r="T22" s="79" t="s">
        <v>64</v>
      </c>
      <c r="U22" s="69"/>
    </row>
    <row r="23" customFormat="false" ht="14.25" hidden="false" customHeight="false" outlineLevel="0" collapsed="false">
      <c r="A23" s="742"/>
      <c r="B23" s="69"/>
      <c r="C23" s="650"/>
      <c r="D23" s="750"/>
      <c r="E23" s="751"/>
      <c r="F23" s="685"/>
      <c r="G23" s="685"/>
      <c r="H23" s="752" t="str">
        <f aca="true">IF(G23=0,"",
IF(AND(Contents!$C$11&gt;0,Contents!$C$11-$G23&lt;6,Contents!$C$11-$G23&gt;=0),
OFFSET(Contents!$B$75,0,(Contents!$C$11-$G23)),0))</f>
        <v/>
      </c>
      <c r="I23" s="753" t="n">
        <f aca="false">IF(AND(Contents!$C$13="Sequential", G23&gt;0, G23=Contents!$C$11, Contents!$C$12&gt;1, Contents!$C$12&gt;A23), J23,
IF(AND(G23&gt;0,G23&lt;Contents!$C$11), J23,0))</f>
        <v>0</v>
      </c>
      <c r="J23" s="754"/>
      <c r="K23" s="753" t="n">
        <f aca="true">(IF(AND(Contents!$C$11&gt;0,Contents!$C$11-$G23&lt;6,Contents!$C$11-$G23&gt;=0),
ROUND(OFFSET(Contents!$B$73,0,(Contents!$C$11-$G23)-1)*J23,2),
IF(AND(Contents!$C$11&gt;0,J23&gt;0),J23,0)))</f>
        <v>0</v>
      </c>
      <c r="L23" s="753" t="n">
        <f aca="false">IF(H23="",0,ROUND(H23*J23*IF(Contents!$C$12=4,1,0),2))</f>
        <v>0</v>
      </c>
      <c r="M23" s="755" t="n">
        <f aca="false">IF(H23="",0,K23+L23)</f>
        <v>0</v>
      </c>
      <c r="N23" s="650"/>
      <c r="O23" s="69"/>
      <c r="P23" s="79" t="s">
        <v>68</v>
      </c>
      <c r="Q23" s="79" t="s">
        <v>83</v>
      </c>
      <c r="R23" s="78"/>
      <c r="S23" s="79" t="s">
        <v>179</v>
      </c>
      <c r="T23" s="79" t="s">
        <v>68</v>
      </c>
      <c r="U23" s="69"/>
    </row>
    <row r="24" customFormat="false" ht="14.25" hidden="false" customHeight="false" outlineLevel="0" collapsed="false">
      <c r="A24" s="742"/>
      <c r="B24" s="69"/>
      <c r="C24" s="650"/>
      <c r="D24" s="750"/>
      <c r="E24" s="751"/>
      <c r="F24" s="685"/>
      <c r="G24" s="685"/>
      <c r="H24" s="752" t="str">
        <f aca="true">IF(G24=0,"",
IF(AND(Contents!$C$11&gt;0,Contents!$C$11-$G24&lt;6,Contents!$C$11-$G24&gt;=0),
OFFSET(Contents!$B$75,0,(Contents!$C$11-$G24)),0))</f>
        <v/>
      </c>
      <c r="I24" s="753" t="n">
        <f aca="false">IF(AND(Contents!$C$13="Sequential", G24&gt;0, G24=Contents!$C$11, Contents!$C$12&gt;1, Contents!$C$12&gt;A24), J24,
IF(AND(G24&gt;0,G24&lt;Contents!$C$11), J24,0))</f>
        <v>0</v>
      </c>
      <c r="J24" s="754"/>
      <c r="K24" s="753" t="n">
        <f aca="true">(IF(AND(Contents!$C$11&gt;0,Contents!$C$11-$G24&lt;6,Contents!$C$11-$G24&gt;=0),
ROUND(OFFSET(Contents!$B$73,0,(Contents!$C$11-$G24)-1)*J24,2),
IF(AND(Contents!$C$11&gt;0,J24&gt;0),J24,0)))</f>
        <v>0</v>
      </c>
      <c r="L24" s="753" t="n">
        <f aca="false">IF(H24="",0,ROUND(H24*J24*IF(Contents!$C$12=4,1,0),2))</f>
        <v>0</v>
      </c>
      <c r="M24" s="755" t="n">
        <f aca="false">IF(H24="",0,K24+L24)</f>
        <v>0</v>
      </c>
      <c r="N24" s="650"/>
      <c r="O24" s="69"/>
      <c r="P24" s="79" t="s">
        <v>69</v>
      </c>
      <c r="Q24" s="79" t="s">
        <v>87</v>
      </c>
      <c r="R24" s="78"/>
      <c r="S24" s="79" t="s">
        <v>180</v>
      </c>
      <c r="T24" s="79" t="s">
        <v>69</v>
      </c>
      <c r="U24" s="69"/>
    </row>
    <row r="25" customFormat="false" ht="14.25" hidden="false" customHeight="false" outlineLevel="0" collapsed="false">
      <c r="A25" s="742"/>
      <c r="B25" s="69"/>
      <c r="C25" s="650"/>
      <c r="D25" s="750"/>
      <c r="E25" s="751"/>
      <c r="F25" s="685"/>
      <c r="G25" s="685"/>
      <c r="H25" s="752" t="str">
        <f aca="true">IF(G25=0,"",
IF(AND(Contents!$C$11&gt;0,Contents!$C$11-$G25&lt;6,Contents!$C$11-$G25&gt;=0),
OFFSET(Contents!$B$75,0,(Contents!$C$11-$G25)),0))</f>
        <v/>
      </c>
      <c r="I25" s="753" t="n">
        <f aca="false">IF(AND(Contents!$C$13="Sequential", G25&gt;0, G25=Contents!$C$11, Contents!$C$12&gt;1, Contents!$C$12&gt;A25), J25,
IF(AND(G25&gt;0,G25&lt;Contents!$C$11), J25,0))</f>
        <v>0</v>
      </c>
      <c r="J25" s="754"/>
      <c r="K25" s="753" t="n">
        <f aca="true">(IF(AND(Contents!$C$11&gt;0,Contents!$C$11-$G25&lt;6,Contents!$C$11-$G25&gt;=0),
ROUND(OFFSET(Contents!$B$73,0,(Contents!$C$11-$G25)-1)*J25,2),
IF(AND(Contents!$C$11&gt;0,J25&gt;0),J25,0)))</f>
        <v>0</v>
      </c>
      <c r="L25" s="753" t="n">
        <f aca="false">IF(H25="",0,ROUND(H25*J25*IF(Contents!$C$12=4,1,0),2))</f>
        <v>0</v>
      </c>
      <c r="M25" s="755" t="n">
        <f aca="false">IF(H25="",0,K25+L25)</f>
        <v>0</v>
      </c>
      <c r="N25" s="650"/>
      <c r="O25" s="762"/>
      <c r="P25" s="79" t="s">
        <v>70</v>
      </c>
      <c r="Q25" s="79" t="s">
        <v>91</v>
      </c>
      <c r="R25" s="78"/>
      <c r="S25" s="79" t="s">
        <v>181</v>
      </c>
      <c r="T25" s="79" t="s">
        <v>70</v>
      </c>
      <c r="U25" s="762"/>
    </row>
    <row r="26" customFormat="false" ht="15" hidden="false" customHeight="false" outlineLevel="0" collapsed="false">
      <c r="A26" s="742"/>
      <c r="B26" s="69"/>
      <c r="C26" s="650"/>
      <c r="D26" s="750"/>
      <c r="E26" s="751"/>
      <c r="F26" s="685"/>
      <c r="G26" s="685"/>
      <c r="H26" s="752" t="str">
        <f aca="true">IF(G26=0,"",
IF(AND(Contents!$C$11&gt;0,Contents!$C$11-$G26&lt;6,Contents!$C$11-$G26&gt;=0),
OFFSET(Contents!$B$75,0,(Contents!$C$11-$G26)),0))</f>
        <v/>
      </c>
      <c r="I26" s="753" t="n">
        <f aca="false">IF(AND(Contents!$C$13="Sequential", G26&gt;0, G26=Contents!$C$11, Contents!$C$12&gt;1, Contents!$C$12&gt;A26), J26,
IF(AND(G26&gt;0,G26&lt;Contents!$C$11), J26,0))</f>
        <v>0</v>
      </c>
      <c r="J26" s="754"/>
      <c r="K26" s="753" t="n">
        <f aca="true">(IF(AND(Contents!$C$11&gt;0,Contents!$C$11-$G26&lt;6,Contents!$C$11-$G26&gt;=0),
ROUND(OFFSET(Contents!$B$73,0,(Contents!$C$11-$G26)-1)*J26,2),
IF(AND(Contents!$C$11&gt;0,J26&gt;0),J26,0)))</f>
        <v>0</v>
      </c>
      <c r="L26" s="753" t="n">
        <f aca="false">IF(H26="",0,ROUND(H26*J26*IF(Contents!$C$12=4,1,0),2))</f>
        <v>0</v>
      </c>
      <c r="M26" s="755" t="n">
        <f aca="false">IF(H26="",0,K26+L26)</f>
        <v>0</v>
      </c>
      <c r="N26" s="650"/>
      <c r="O26" s="768"/>
      <c r="P26" s="79" t="s">
        <v>174</v>
      </c>
      <c r="Q26" s="78"/>
      <c r="R26" s="78"/>
      <c r="S26" s="79" t="s">
        <v>83</v>
      </c>
      <c r="T26" s="79" t="s">
        <v>174</v>
      </c>
      <c r="U26" s="768"/>
    </row>
    <row r="27" customFormat="false" ht="14.25" hidden="false" customHeight="false" outlineLevel="0" collapsed="false">
      <c r="A27" s="742"/>
      <c r="B27" s="69"/>
      <c r="C27" s="650"/>
      <c r="D27" s="750"/>
      <c r="E27" s="751"/>
      <c r="F27" s="685"/>
      <c r="G27" s="685"/>
      <c r="H27" s="752" t="str">
        <f aca="true">IF(G27=0,"",
IF(AND(Contents!$C$11&gt;0,Contents!$C$11-$G27&lt;6,Contents!$C$11-$G27&gt;=0),
OFFSET(Contents!$B$75,0,(Contents!$C$11-$G27)),0))</f>
        <v/>
      </c>
      <c r="I27" s="753" t="n">
        <f aca="false">IF(AND(Contents!$C$13="Sequential", G27&gt;0, G27=Contents!$C$11, Contents!$C$12&gt;1, Contents!$C$12&gt;A27), J27,
IF(AND(G27&gt;0,G27&lt;Contents!$C$11), J27,0))</f>
        <v>0</v>
      </c>
      <c r="J27" s="754"/>
      <c r="K27" s="753" t="n">
        <f aca="true">(IF(AND(Contents!$C$11&gt;0,Contents!$C$11-$G27&lt;6,Contents!$C$11-$G27&gt;=0),
ROUND(OFFSET(Contents!$B$73,0,(Contents!$C$11-$G27)-1)*J27,2),
IF(AND(Contents!$C$11&gt;0,J27&gt;0),J27,0)))</f>
        <v>0</v>
      </c>
      <c r="L27" s="753" t="n">
        <f aca="false">IF(H27="",0,ROUND(H27*J27*IF(Contents!$C$12=4,1,0),2))</f>
        <v>0</v>
      </c>
      <c r="M27" s="755" t="n">
        <f aca="false">IF(H27="",0,K27+L27)</f>
        <v>0</v>
      </c>
      <c r="N27" s="650"/>
      <c r="O27" s="69"/>
      <c r="P27" s="79" t="s">
        <v>177</v>
      </c>
      <c r="Q27" s="78"/>
      <c r="R27" s="78"/>
      <c r="S27" s="79" t="s">
        <v>85</v>
      </c>
      <c r="T27" s="79" t="s">
        <v>76</v>
      </c>
      <c r="U27" s="69"/>
    </row>
    <row r="28" customFormat="false" ht="14.25" hidden="false" customHeight="false" outlineLevel="0" collapsed="false">
      <c r="A28" s="742"/>
      <c r="B28" s="69"/>
      <c r="C28" s="650"/>
      <c r="D28" s="750"/>
      <c r="E28" s="751"/>
      <c r="F28" s="685"/>
      <c r="G28" s="685"/>
      <c r="H28" s="752" t="str">
        <f aca="true">IF(G28=0,"",
IF(AND(Contents!$C$11&gt;0,Contents!$C$11-$G28&lt;6,Contents!$C$11-$G28&gt;=0),
OFFSET(Contents!$B$75,0,(Contents!$C$11-$G28)),0))</f>
        <v/>
      </c>
      <c r="I28" s="753" t="n">
        <f aca="false">IF(AND(Contents!$C$13="Sequential", G28&gt;0, G28=Contents!$C$11, Contents!$C$12&gt;1, Contents!$C$12&gt;A28), J28,
IF(AND(G28&gt;0,G28&lt;Contents!$C$11), J28,0))</f>
        <v>0</v>
      </c>
      <c r="J28" s="754"/>
      <c r="K28" s="753" t="n">
        <f aca="true">(IF(AND(Contents!$C$11&gt;0,Contents!$C$11-$G28&lt;6,Contents!$C$11-$G28&gt;=0),
ROUND(OFFSET(Contents!$B$73,0,(Contents!$C$11-$G28)-1)*J28,2),
IF(AND(Contents!$C$11&gt;0,J28&gt;0),J28,0)))</f>
        <v>0</v>
      </c>
      <c r="L28" s="753" t="n">
        <f aca="false">IF(H28="",0,ROUND(H28*J28*IF(Contents!$C$12=4,1,0),2))</f>
        <v>0</v>
      </c>
      <c r="M28" s="755" t="n">
        <f aca="false">IF(H28="",0,K28+L28)</f>
        <v>0</v>
      </c>
      <c r="N28" s="650"/>
      <c r="O28" s="69"/>
      <c r="P28" s="79" t="s">
        <v>178</v>
      </c>
      <c r="Q28" s="78"/>
      <c r="R28" s="78"/>
      <c r="S28" s="79" t="s">
        <v>86</v>
      </c>
      <c r="T28" s="79" t="s">
        <v>78</v>
      </c>
      <c r="U28" s="69"/>
    </row>
    <row r="29" customFormat="false" ht="14.25" hidden="false" customHeight="false" outlineLevel="0" collapsed="false">
      <c r="A29" s="742"/>
      <c r="B29" s="69"/>
      <c r="C29" s="650"/>
      <c r="D29" s="750"/>
      <c r="E29" s="751"/>
      <c r="F29" s="685"/>
      <c r="G29" s="685"/>
      <c r="H29" s="752" t="str">
        <f aca="true">IF(G29=0,"",
IF(AND(Contents!$C$11&gt;0,Contents!$C$11-$G29&lt;6,Contents!$C$11-$G29&gt;=0),
OFFSET(Contents!$B$75,0,(Contents!$C$11-$G29)),0))</f>
        <v/>
      </c>
      <c r="I29" s="753" t="n">
        <f aca="false">IF(AND(Contents!$C$13="Sequential", G29&gt;0, G29=Contents!$C$11, Contents!$C$12&gt;1, Contents!$C$12&gt;A29), J29,
IF(AND(G29&gt;0,G29&lt;Contents!$C$11), J29,0))</f>
        <v>0</v>
      </c>
      <c r="J29" s="754"/>
      <c r="K29" s="753" t="n">
        <f aca="true">(IF(AND(Contents!$C$11&gt;0,Contents!$C$11-$G29&lt;6,Contents!$C$11-$G29&gt;=0),
ROUND(OFFSET(Contents!$B$73,0,(Contents!$C$11-$G29)-1)*J29,2),
IF(AND(Contents!$C$11&gt;0,J29&gt;0),J29,0)))</f>
        <v>0</v>
      </c>
      <c r="L29" s="753" t="n">
        <f aca="false">IF(H29="",0,ROUND(H29*J29*IF(Contents!$C$12=4,1,0),2))</f>
        <v>0</v>
      </c>
      <c r="M29" s="755" t="n">
        <f aca="false">IF(H29="",0,K29+L29)</f>
        <v>0</v>
      </c>
      <c r="N29" s="650"/>
      <c r="O29" s="69"/>
      <c r="P29" s="79" t="s">
        <v>179</v>
      </c>
      <c r="Q29" s="78"/>
      <c r="R29" s="78"/>
      <c r="S29" s="79" t="s">
        <v>87</v>
      </c>
      <c r="T29" s="79" t="s">
        <v>79</v>
      </c>
      <c r="U29" s="69"/>
    </row>
    <row r="30" customFormat="false" ht="14.25" hidden="false" customHeight="false" outlineLevel="0" collapsed="false">
      <c r="A30" s="742"/>
      <c r="B30" s="69"/>
      <c r="C30" s="650"/>
      <c r="D30" s="750"/>
      <c r="E30" s="751"/>
      <c r="F30" s="685"/>
      <c r="G30" s="685"/>
      <c r="H30" s="752" t="str">
        <f aca="true">IF(G30=0,"",
IF(AND(Contents!$C$11&gt;0,Contents!$C$11-$G30&lt;6,Contents!$C$11-$G30&gt;=0),
OFFSET(Contents!$B$75,0,(Contents!$C$11-$G30)),0))</f>
        <v/>
      </c>
      <c r="I30" s="753" t="n">
        <f aca="false">IF(AND(Contents!$C$13="Sequential", G30&gt;0, G30=Contents!$C$11, Contents!$C$12&gt;1, Contents!$C$12&gt;A30), J30,
IF(AND(G30&gt;0,G30&lt;Contents!$C$11), J30,0))</f>
        <v>0</v>
      </c>
      <c r="J30" s="754"/>
      <c r="K30" s="753" t="n">
        <f aca="true">(IF(AND(Contents!$C$11&gt;0,Contents!$C$11-$G30&lt;6,Contents!$C$11-$G30&gt;=0),
ROUND(OFFSET(Contents!$B$73,0,(Contents!$C$11-$G30)-1)*J30,2),
IF(AND(Contents!$C$11&gt;0,J30&gt;0),J30,0)))</f>
        <v>0</v>
      </c>
      <c r="L30" s="753" t="n">
        <f aca="false">IF(H30="",0,ROUND(H30*J30*IF(Contents!$C$12=4,1,0),2))</f>
        <v>0</v>
      </c>
      <c r="M30" s="755" t="n">
        <f aca="false">IF(H30="",0,K30+L30)</f>
        <v>0</v>
      </c>
      <c r="N30" s="650"/>
      <c r="O30" s="69"/>
      <c r="P30" s="79" t="s">
        <v>180</v>
      </c>
      <c r="Q30" s="78"/>
      <c r="R30" s="78"/>
      <c r="S30" s="79" t="s">
        <v>91</v>
      </c>
      <c r="T30" s="79" t="s">
        <v>81</v>
      </c>
      <c r="U30" s="69"/>
    </row>
    <row r="31" customFormat="false" ht="14.25" hidden="false" customHeight="false" outlineLevel="0" collapsed="false">
      <c r="A31" s="742"/>
      <c r="B31" s="69"/>
      <c r="C31" s="650"/>
      <c r="D31" s="750"/>
      <c r="E31" s="751"/>
      <c r="F31" s="685"/>
      <c r="G31" s="685"/>
      <c r="H31" s="752" t="str">
        <f aca="true">IF(G31=0,"",
IF(AND(Contents!$C$11&gt;0,Contents!$C$11-$G31&lt;6,Contents!$C$11-$G31&gt;=0),
OFFSET(Contents!$B$75,0,(Contents!$C$11-$G31)),0))</f>
        <v/>
      </c>
      <c r="I31" s="753" t="n">
        <f aca="false">IF(AND(Contents!$C$13="Sequential", G31&gt;0, G31=Contents!$C$11, Contents!$C$12&gt;1, Contents!$C$12&gt;A31), J31,
IF(AND(G31&gt;0,G31&lt;Contents!$C$11), J31,0))</f>
        <v>0</v>
      </c>
      <c r="J31" s="754"/>
      <c r="K31" s="753" t="n">
        <f aca="true">(IF(AND(Contents!$C$11&gt;0,Contents!$C$11-$G31&lt;6,Contents!$C$11-$G31&gt;=0),
ROUND(OFFSET(Contents!$B$73,0,(Contents!$C$11-$G31)-1)*J31,2),
IF(AND(Contents!$C$11&gt;0,J31&gt;0),J31,0)))</f>
        <v>0</v>
      </c>
      <c r="L31" s="753" t="n">
        <f aca="false">IF(H31="",0,ROUND(H31*J31*IF(Contents!$C$12=4,1,0),2))</f>
        <v>0</v>
      </c>
      <c r="M31" s="755" t="n">
        <f aca="false">IF(H31="",0,K31+L31)</f>
        <v>0</v>
      </c>
      <c r="N31" s="650"/>
      <c r="O31" s="69"/>
      <c r="P31" s="79" t="s">
        <v>181</v>
      </c>
      <c r="Q31" s="78"/>
      <c r="R31" s="78"/>
      <c r="S31" s="78"/>
      <c r="T31" s="79" t="s">
        <v>83</v>
      </c>
      <c r="U31" s="69"/>
    </row>
    <row r="32" customFormat="false" ht="14.25" hidden="false" customHeight="false" outlineLevel="0" collapsed="false">
      <c r="A32" s="742"/>
      <c r="B32" s="69"/>
      <c r="C32" s="650"/>
      <c r="D32" s="750"/>
      <c r="E32" s="751"/>
      <c r="F32" s="685"/>
      <c r="G32" s="685"/>
      <c r="H32" s="752" t="str">
        <f aca="true">IF(G32=0,"",
IF(AND(Contents!$C$11&gt;0,Contents!$C$11-$G32&lt;6,Contents!$C$11-$G32&gt;=0),
OFFSET(Contents!$B$75,0,(Contents!$C$11-$G32)),0))</f>
        <v/>
      </c>
      <c r="I32" s="753" t="n">
        <f aca="false">IF(AND(Contents!$C$13="Sequential", G32&gt;0, G32=Contents!$C$11, Contents!$C$12&gt;1, Contents!$C$12&gt;A32), J32,
IF(AND(G32&gt;0,G32&lt;Contents!$C$11), J32,0))</f>
        <v>0</v>
      </c>
      <c r="J32" s="754"/>
      <c r="K32" s="753" t="n">
        <f aca="true">(IF(AND(Contents!$C$11&gt;0,Contents!$C$11-$G32&lt;6,Contents!$C$11-$G32&gt;=0),
ROUND(OFFSET(Contents!$B$73,0,(Contents!$C$11-$G32)-1)*J32,2),
IF(AND(Contents!$C$11&gt;0,J32&gt;0),J32,0)))</f>
        <v>0</v>
      </c>
      <c r="L32" s="753" t="n">
        <f aca="false">IF(H32="",0,ROUND(H32*J32*IF(Contents!$C$12=4,1,0),2))</f>
        <v>0</v>
      </c>
      <c r="M32" s="755" t="n">
        <f aca="false">IF(H32="",0,K32+L32)</f>
        <v>0</v>
      </c>
      <c r="N32" s="650"/>
      <c r="O32" s="69"/>
      <c r="P32" s="79" t="s">
        <v>76</v>
      </c>
      <c r="Q32" s="78"/>
      <c r="R32" s="78"/>
      <c r="S32" s="78"/>
      <c r="T32" s="79" t="s">
        <v>85</v>
      </c>
      <c r="U32" s="69"/>
    </row>
    <row r="33" customFormat="false" ht="14.25" hidden="false" customHeight="false" outlineLevel="0" collapsed="false">
      <c r="A33" s="742"/>
      <c r="B33" s="69"/>
      <c r="C33" s="650"/>
      <c r="D33" s="750"/>
      <c r="E33" s="751"/>
      <c r="F33" s="685"/>
      <c r="G33" s="685"/>
      <c r="H33" s="752" t="str">
        <f aca="true">IF(G33=0,"",
IF(AND(Contents!$C$11&gt;0,Contents!$C$11-$G33&lt;6,Contents!$C$11-$G33&gt;=0),
OFFSET(Contents!$B$75,0,(Contents!$C$11-$G33)),0))</f>
        <v/>
      </c>
      <c r="I33" s="753" t="n">
        <f aca="false">IF(AND(Contents!$C$13="Sequential", G33&gt;0, G33=Contents!$C$11, Contents!$C$12&gt;1, Contents!$C$12&gt;A33), J33,
IF(AND(G33&gt;0,G33&lt;Contents!$C$11), J33,0))</f>
        <v>0</v>
      </c>
      <c r="J33" s="754"/>
      <c r="K33" s="753" t="n">
        <f aca="true">(IF(AND(Contents!$C$11&gt;0,Contents!$C$11-$G33&lt;6,Contents!$C$11-$G33&gt;=0),
ROUND(OFFSET(Contents!$B$73,0,(Contents!$C$11-$G33)-1)*J33,2),
IF(AND(Contents!$C$11&gt;0,J33&gt;0),J33,0)))</f>
        <v>0</v>
      </c>
      <c r="L33" s="753" t="n">
        <f aca="false">IF(H33="",0,ROUND(H33*J33*IF(Contents!$C$12=4,1,0),2))</f>
        <v>0</v>
      </c>
      <c r="M33" s="755" t="n">
        <f aca="false">IF(H33="",0,K33+L33)</f>
        <v>0</v>
      </c>
      <c r="N33" s="650"/>
      <c r="O33" s="69"/>
      <c r="P33" s="79" t="s">
        <v>78</v>
      </c>
      <c r="Q33" s="78"/>
      <c r="R33" s="78"/>
      <c r="S33" s="78"/>
      <c r="T33" s="79" t="s">
        <v>86</v>
      </c>
      <c r="U33" s="69"/>
    </row>
    <row r="34" customFormat="false" ht="14.25" hidden="false" customHeight="false" outlineLevel="0" collapsed="false">
      <c r="A34" s="742"/>
      <c r="B34" s="69"/>
      <c r="C34" s="650"/>
      <c r="D34" s="750"/>
      <c r="E34" s="751"/>
      <c r="F34" s="685"/>
      <c r="G34" s="685"/>
      <c r="H34" s="752" t="str">
        <f aca="true">IF(G34=0,"",
IF(AND(Contents!$C$11&gt;0,Contents!$C$11-$G34&lt;6,Contents!$C$11-$G34&gt;=0),
OFFSET(Contents!$B$75,0,(Contents!$C$11-$G34)),0))</f>
        <v/>
      </c>
      <c r="I34" s="753" t="n">
        <f aca="false">IF(AND(Contents!$C$13="Sequential", G34&gt;0, G34=Contents!$C$11, Contents!$C$12&gt;1, Contents!$C$12&gt;A34), J34,
IF(AND(G34&gt;0,G34&lt;Contents!$C$11), J34,0))</f>
        <v>0</v>
      </c>
      <c r="J34" s="754"/>
      <c r="K34" s="753" t="n">
        <f aca="true">(IF(AND(Contents!$C$11&gt;0,Contents!$C$11-$G34&lt;6,Contents!$C$11-$G34&gt;=0),
ROUND(OFFSET(Contents!$B$73,0,(Contents!$C$11-$G34)-1)*J34,2),
IF(AND(Contents!$C$11&gt;0,J34&gt;0),J34,0)))</f>
        <v>0</v>
      </c>
      <c r="L34" s="753" t="n">
        <f aca="false">IF(H34="",0,ROUND(H34*J34*IF(Contents!$C$12=4,1,0),2))</f>
        <v>0</v>
      </c>
      <c r="M34" s="755" t="n">
        <f aca="false">IF(H34="",0,K34+L34)</f>
        <v>0</v>
      </c>
      <c r="N34" s="650"/>
      <c r="O34" s="69"/>
      <c r="P34" s="79" t="s">
        <v>79</v>
      </c>
      <c r="Q34" s="78"/>
      <c r="R34" s="78"/>
      <c r="S34" s="78"/>
      <c r="T34" s="79" t="s">
        <v>87</v>
      </c>
      <c r="U34" s="69"/>
    </row>
    <row r="35" customFormat="false" ht="14.25" hidden="false" customHeight="false" outlineLevel="0" collapsed="false">
      <c r="A35" s="742"/>
      <c r="B35" s="69"/>
      <c r="C35" s="650"/>
      <c r="D35" s="750"/>
      <c r="E35" s="751"/>
      <c r="F35" s="685"/>
      <c r="G35" s="685"/>
      <c r="H35" s="752" t="str">
        <f aca="true">IF(G35=0,"",
IF(AND(Contents!$C$11&gt;0,Contents!$C$11-$G35&lt;6,Contents!$C$11-$G35&gt;=0),
OFFSET(Contents!$B$75,0,(Contents!$C$11-$G35)),0))</f>
        <v/>
      </c>
      <c r="I35" s="753" t="n">
        <f aca="false">IF(AND(Contents!$C$13="Sequential", G35&gt;0, G35=Contents!$C$11, Contents!$C$12&gt;1, Contents!$C$12&gt;A35), J35,
IF(AND(G35&gt;0,G35&lt;Contents!$C$11), J35,0))</f>
        <v>0</v>
      </c>
      <c r="J35" s="754"/>
      <c r="K35" s="753" t="n">
        <f aca="true">(IF(AND(Contents!$C$11&gt;0,Contents!$C$11-$G35&lt;6,Contents!$C$11-$G35&gt;=0),
ROUND(OFFSET(Contents!$B$73,0,(Contents!$C$11-$G35)-1)*J35,2),
IF(AND(Contents!$C$11&gt;0,J35&gt;0),J35,0)))</f>
        <v>0</v>
      </c>
      <c r="L35" s="753" t="n">
        <f aca="false">IF(H35="",0,ROUND(H35*J35*IF(Contents!$C$12=4,1,0),2))</f>
        <v>0</v>
      </c>
      <c r="M35" s="755" t="n">
        <f aca="false">IF(H35="",0,K35+L35)</f>
        <v>0</v>
      </c>
      <c r="N35" s="650"/>
      <c r="O35" s="69"/>
      <c r="P35" s="79" t="s">
        <v>81</v>
      </c>
      <c r="Q35" s="78"/>
      <c r="R35" s="78"/>
      <c r="S35" s="78"/>
      <c r="T35" s="79" t="s">
        <v>89</v>
      </c>
      <c r="U35" s="69"/>
    </row>
    <row r="36" customFormat="false" ht="14.25" hidden="false" customHeight="false" outlineLevel="0" collapsed="false">
      <c r="A36" s="742"/>
      <c r="B36" s="69"/>
      <c r="C36" s="650"/>
      <c r="D36" s="750"/>
      <c r="E36" s="751"/>
      <c r="F36" s="685"/>
      <c r="G36" s="685"/>
      <c r="H36" s="752" t="str">
        <f aca="true">IF(G36=0,"",
IF(AND(Contents!$C$11&gt;0,Contents!$C$11-$G36&lt;6,Contents!$C$11-$G36&gt;=0),
OFFSET(Contents!$B$75,0,(Contents!$C$11-$G36)),0))</f>
        <v/>
      </c>
      <c r="I36" s="753" t="n">
        <f aca="false">IF(AND(Contents!$C$13="Sequential", G36&gt;0, G36=Contents!$C$11, Contents!$C$12&gt;1, Contents!$C$12&gt;A36), J36,
IF(AND(G36&gt;0,G36&lt;Contents!$C$11), J36,0))</f>
        <v>0</v>
      </c>
      <c r="J36" s="754"/>
      <c r="K36" s="753" t="n">
        <f aca="true">(IF(AND(Contents!$C$11&gt;0,Contents!$C$11-$G36&lt;6,Contents!$C$11-$G36&gt;=0),
ROUND(OFFSET(Contents!$B$73,0,(Contents!$C$11-$G36)-1)*J36,2),
IF(AND(Contents!$C$11&gt;0,J36&gt;0),J36,0)))</f>
        <v>0</v>
      </c>
      <c r="L36" s="753" t="n">
        <f aca="false">IF(H36="",0,ROUND(H36*J36*IF(Contents!$C$12=4,1,0),2))</f>
        <v>0</v>
      </c>
      <c r="M36" s="755" t="n">
        <f aca="false">IF(H36="",0,K36+L36)</f>
        <v>0</v>
      </c>
      <c r="N36" s="650"/>
      <c r="O36" s="69"/>
      <c r="P36" s="79" t="s">
        <v>83</v>
      </c>
      <c r="Q36" s="78"/>
      <c r="R36" s="78"/>
      <c r="S36" s="78"/>
      <c r="T36" s="79" t="s">
        <v>90</v>
      </c>
      <c r="U36" s="69"/>
    </row>
    <row r="37" customFormat="false" ht="14.25" hidden="false" customHeight="false" outlineLevel="0" collapsed="false">
      <c r="A37" s="742"/>
      <c r="B37" s="69"/>
      <c r="C37" s="650"/>
      <c r="D37" s="750"/>
      <c r="E37" s="751"/>
      <c r="F37" s="685"/>
      <c r="G37" s="685"/>
      <c r="H37" s="752" t="str">
        <f aca="true">IF(G37=0,"",
IF(AND(Contents!$C$11&gt;0,Contents!$C$11-$G37&lt;6,Contents!$C$11-$G37&gt;=0),
OFFSET(Contents!$B$75,0,(Contents!$C$11-$G37)),0))</f>
        <v/>
      </c>
      <c r="I37" s="753" t="n">
        <f aca="false">IF(AND(Contents!$C$13="Sequential", G37&gt;0, G37=Contents!$C$11, Contents!$C$12&gt;1, Contents!$C$12&gt;A37), J37,
IF(AND(G37&gt;0,G37&lt;Contents!$C$11), J37,0))</f>
        <v>0</v>
      </c>
      <c r="J37" s="754"/>
      <c r="K37" s="753" t="n">
        <f aca="true">(IF(AND(Contents!$C$11&gt;0,Contents!$C$11-$G37&lt;6,Contents!$C$11-$G37&gt;=0),
ROUND(OFFSET(Contents!$B$73,0,(Contents!$C$11-$G37)-1)*J37,2),
IF(AND(Contents!$C$11&gt;0,J37&gt;0),J37,0)))</f>
        <v>0</v>
      </c>
      <c r="L37" s="753" t="n">
        <f aca="false">IF(H37="",0,ROUND(H37*J37*IF(Contents!$C$12=4,1,0),2))</f>
        <v>0</v>
      </c>
      <c r="M37" s="755" t="n">
        <f aca="false">IF(H37="",0,K37+L37)</f>
        <v>0</v>
      </c>
      <c r="N37" s="650"/>
      <c r="O37" s="69"/>
      <c r="P37" s="79" t="s">
        <v>85</v>
      </c>
      <c r="Q37" s="78"/>
      <c r="R37" s="78"/>
      <c r="S37" s="78"/>
      <c r="T37" s="79" t="s">
        <v>192</v>
      </c>
      <c r="U37" s="69"/>
    </row>
    <row r="38" customFormat="false" ht="14.25" hidden="false" customHeight="false" outlineLevel="0" collapsed="false">
      <c r="A38" s="742"/>
      <c r="B38" s="69"/>
      <c r="C38" s="650"/>
      <c r="D38" s="750"/>
      <c r="E38" s="751"/>
      <c r="F38" s="685"/>
      <c r="G38" s="685"/>
      <c r="H38" s="752" t="str">
        <f aca="true">IF(G38=0,"",
IF(AND(Contents!$C$11&gt;0,Contents!$C$11-$G38&lt;6,Contents!$C$11-$G38&gt;=0),
OFFSET(Contents!$B$75,0,(Contents!$C$11-$G38)),0))</f>
        <v/>
      </c>
      <c r="I38" s="753" t="n">
        <f aca="false">IF(AND(Contents!$C$13="Sequential", G38&gt;0, G38=Contents!$C$11, Contents!$C$12&gt;1, Contents!$C$12&gt;A38), J38,
IF(AND(G38&gt;0,G38&lt;Contents!$C$11), J38,0))</f>
        <v>0</v>
      </c>
      <c r="J38" s="754"/>
      <c r="K38" s="753" t="n">
        <f aca="true">(IF(AND(Contents!$C$11&gt;0,Contents!$C$11-$G38&lt;6,Contents!$C$11-$G38&gt;=0),
ROUND(OFFSET(Contents!$B$73,0,(Contents!$C$11-$G38)-1)*J38,2),
IF(AND(Contents!$C$11&gt;0,J38&gt;0),J38,0)))</f>
        <v>0</v>
      </c>
      <c r="L38" s="753" t="n">
        <f aca="false">IF(H38="",0,ROUND(H38*J38*IF(Contents!$C$12=4,1,0),2))</f>
        <v>0</v>
      </c>
      <c r="M38" s="755" t="n">
        <f aca="false">IF(H38="",0,K38+L38)</f>
        <v>0</v>
      </c>
      <c r="N38" s="650"/>
      <c r="O38" s="69"/>
      <c r="P38" s="79" t="s">
        <v>86</v>
      </c>
      <c r="Q38" s="78"/>
      <c r="R38" s="78"/>
      <c r="S38" s="78"/>
      <c r="T38" s="79" t="s">
        <v>91</v>
      </c>
      <c r="U38" s="69"/>
    </row>
    <row r="39" customFormat="false" ht="14.25" hidden="false" customHeight="false" outlineLevel="0" collapsed="false">
      <c r="A39" s="742"/>
      <c r="B39" s="69"/>
      <c r="C39" s="650"/>
      <c r="D39" s="750"/>
      <c r="E39" s="751"/>
      <c r="F39" s="685"/>
      <c r="G39" s="685"/>
      <c r="H39" s="752" t="str">
        <f aca="true">IF(G39=0,"",
IF(AND(Contents!$C$11&gt;0,Contents!$C$11-$G39&lt;6,Contents!$C$11-$G39&gt;=0),
OFFSET(Contents!$B$75,0,(Contents!$C$11-$G39)),0))</f>
        <v/>
      </c>
      <c r="I39" s="753" t="n">
        <f aca="false">IF(AND(Contents!$C$13="Sequential", G39&gt;0, G39=Contents!$C$11, Contents!$C$12&gt;1, Contents!$C$12&gt;A39), J39,
IF(AND(G39&gt;0,G39&lt;Contents!$C$11), J39,0))</f>
        <v>0</v>
      </c>
      <c r="J39" s="754"/>
      <c r="K39" s="753" t="n">
        <f aca="true">(IF(AND(Contents!$C$11&gt;0,Contents!$C$11-$G39&lt;6,Contents!$C$11-$G39&gt;=0),
ROUND(OFFSET(Contents!$B$73,0,(Contents!$C$11-$G39)-1)*J39,2),
IF(AND(Contents!$C$11&gt;0,J39&gt;0),J39,0)))</f>
        <v>0</v>
      </c>
      <c r="L39" s="753" t="n">
        <f aca="false">IF(H39="",0,ROUND(H39*J39*IF(Contents!$C$12=4,1,0),2))</f>
        <v>0</v>
      </c>
      <c r="M39" s="755" t="n">
        <f aca="false">IF(H39="",0,K39+L39)</f>
        <v>0</v>
      </c>
      <c r="N39" s="650"/>
      <c r="O39" s="69"/>
      <c r="P39" s="79" t="s">
        <v>87</v>
      </c>
      <c r="Q39" s="78"/>
      <c r="R39" s="78"/>
      <c r="S39" s="78"/>
      <c r="T39" s="79"/>
      <c r="U39" s="69"/>
    </row>
    <row r="40" customFormat="false" ht="14.25" hidden="false" customHeight="false" outlineLevel="0" collapsed="false">
      <c r="A40" s="742"/>
      <c r="B40" s="69"/>
      <c r="C40" s="650"/>
      <c r="D40" s="750"/>
      <c r="E40" s="751"/>
      <c r="F40" s="685"/>
      <c r="G40" s="685"/>
      <c r="H40" s="752" t="str">
        <f aca="true">IF(G40=0,"",
IF(AND(Contents!$C$11&gt;0,Contents!$C$11-$G40&lt;6,Contents!$C$11-$G40&gt;=0),
OFFSET(Contents!$B$75,0,(Contents!$C$11-$G40)),0))</f>
        <v/>
      </c>
      <c r="I40" s="753" t="n">
        <f aca="false">IF(AND(Contents!$C$13="Sequential", G40&gt;0, G40=Contents!$C$11, Contents!$C$12&gt;1, Contents!$C$12&gt;A40), J40,
IF(AND(G40&gt;0,G40&lt;Contents!$C$11), J40,0))</f>
        <v>0</v>
      </c>
      <c r="J40" s="754"/>
      <c r="K40" s="753" t="n">
        <f aca="true">(IF(AND(Contents!$C$11&gt;0,Contents!$C$11-$G40&lt;6,Contents!$C$11-$G40&gt;=0),
ROUND(OFFSET(Contents!$B$73,0,(Contents!$C$11-$G40)-1)*J40,2),
IF(AND(Contents!$C$11&gt;0,J40&gt;0),J40,0)))</f>
        <v>0</v>
      </c>
      <c r="L40" s="753" t="n">
        <f aca="false">IF(H40="",0,ROUND(H40*J40*IF(Contents!$C$12=4,1,0),2))</f>
        <v>0</v>
      </c>
      <c r="M40" s="755" t="n">
        <f aca="false">IF(H40="",0,K40+L40)</f>
        <v>0</v>
      </c>
      <c r="N40" s="650"/>
      <c r="O40" s="69"/>
      <c r="P40" s="79" t="s">
        <v>89</v>
      </c>
      <c r="Q40" s="78"/>
      <c r="R40" s="78"/>
      <c r="S40" s="78"/>
      <c r="T40" s="78"/>
      <c r="U40" s="69"/>
    </row>
    <row r="41" customFormat="false" ht="14.25" hidden="false" customHeight="false" outlineLevel="0" collapsed="false">
      <c r="A41" s="742"/>
      <c r="B41" s="69"/>
      <c r="C41" s="650"/>
      <c r="D41" s="750"/>
      <c r="E41" s="751"/>
      <c r="F41" s="685"/>
      <c r="G41" s="685"/>
      <c r="H41" s="752" t="str">
        <f aca="true">IF(G41=0,"",
IF(AND(Contents!$C$11&gt;0,Contents!$C$11-$G41&lt;6,Contents!$C$11-$G41&gt;=0),
OFFSET(Contents!$B$75,0,(Contents!$C$11-$G41)),0))</f>
        <v/>
      </c>
      <c r="I41" s="753" t="n">
        <f aca="false">IF(AND(Contents!$C$13="Sequential", G41&gt;0, G41=Contents!$C$11, Contents!$C$12&gt;1, Contents!$C$12&gt;A41), J41,
IF(AND(G41&gt;0,G41&lt;Contents!$C$11), J41,0))</f>
        <v>0</v>
      </c>
      <c r="J41" s="754"/>
      <c r="K41" s="753" t="n">
        <f aca="true">(IF(AND(Contents!$C$11&gt;0,Contents!$C$11-$G41&lt;6,Contents!$C$11-$G41&gt;=0),
ROUND(OFFSET(Contents!$B$73,0,(Contents!$C$11-$G41)-1)*J41,2),
IF(AND(Contents!$C$11&gt;0,J41&gt;0),J41,0)))</f>
        <v>0</v>
      </c>
      <c r="L41" s="753" t="n">
        <f aca="false">IF(H41="",0,ROUND(H41*J41*IF(Contents!$C$12=4,1,0),2))</f>
        <v>0</v>
      </c>
      <c r="M41" s="755" t="n">
        <f aca="false">IF(H41="",0,K41+L41)</f>
        <v>0</v>
      </c>
      <c r="N41" s="650"/>
      <c r="O41" s="69"/>
      <c r="P41" s="79" t="s">
        <v>90</v>
      </c>
      <c r="Q41" s="78"/>
      <c r="R41" s="78"/>
      <c r="S41" s="78"/>
      <c r="T41" s="117"/>
      <c r="U41" s="69"/>
    </row>
    <row r="42" customFormat="false" ht="14.25" hidden="false" customHeight="false" outlineLevel="0" collapsed="false">
      <c r="A42" s="742"/>
      <c r="B42" s="69"/>
      <c r="C42" s="650"/>
      <c r="D42" s="750"/>
      <c r="E42" s="751"/>
      <c r="F42" s="685"/>
      <c r="G42" s="685"/>
      <c r="H42" s="752" t="str">
        <f aca="true">IF(G42=0,"",
IF(AND(Contents!$C$11&gt;0,Contents!$C$11-$G42&lt;6,Contents!$C$11-$G42&gt;=0),
OFFSET(Contents!$B$75,0,(Contents!$C$11-$G42)),0))</f>
        <v/>
      </c>
      <c r="I42" s="753" t="n">
        <f aca="false">IF(AND(Contents!$C$13="Sequential", G42&gt;0, G42=Contents!$C$11, Contents!$C$12&gt;1, Contents!$C$12&gt;A42), J42,
IF(AND(G42&gt;0,G42&lt;Contents!$C$11), J42,0))</f>
        <v>0</v>
      </c>
      <c r="J42" s="754"/>
      <c r="K42" s="753" t="n">
        <f aca="true">(IF(AND(Contents!$C$11&gt;0,Contents!$C$11-$G42&lt;6,Contents!$C$11-$G42&gt;=0),
ROUND(OFFSET(Contents!$B$73,0,(Contents!$C$11-$G42)-1)*J42,2),
IF(AND(Contents!$C$11&gt;0,J42&gt;0),J42,0)))</f>
        <v>0</v>
      </c>
      <c r="L42" s="753" t="n">
        <f aca="false">IF(H42="",0,ROUND(H42*J42*IF(Contents!$C$12=4,1,0),2))</f>
        <v>0</v>
      </c>
      <c r="M42" s="755" t="n">
        <f aca="false">IF(H42="",0,K42+L42)</f>
        <v>0</v>
      </c>
      <c r="N42" s="650"/>
      <c r="O42" s="69"/>
      <c r="P42" s="79" t="s">
        <v>192</v>
      </c>
      <c r="Q42" s="78"/>
      <c r="R42" s="78"/>
      <c r="S42" s="78"/>
      <c r="T42" s="78"/>
      <c r="U42" s="69"/>
    </row>
    <row r="43" customFormat="false" ht="14.25" hidden="false" customHeight="false" outlineLevel="0" collapsed="false">
      <c r="A43" s="742"/>
      <c r="B43" s="69"/>
      <c r="C43" s="650"/>
      <c r="D43" s="750"/>
      <c r="E43" s="751"/>
      <c r="F43" s="685"/>
      <c r="G43" s="685"/>
      <c r="H43" s="752" t="str">
        <f aca="true">IF(G43=0,"",
IF(AND(Contents!$C$11&gt;0,Contents!$C$11-$G43&lt;6,Contents!$C$11-$G43&gt;=0),
OFFSET(Contents!$B$75,0,(Contents!$C$11-$G43)),0))</f>
        <v/>
      </c>
      <c r="I43" s="753" t="n">
        <f aca="false">IF(AND(Contents!$C$13="Sequential", G43&gt;0, G43=Contents!$C$11, Contents!$C$12&gt;1, Contents!$C$12&gt;A43), J43,
IF(AND(G43&gt;0,G43&lt;Contents!$C$11), J43,0))</f>
        <v>0</v>
      </c>
      <c r="J43" s="754"/>
      <c r="K43" s="753" t="n">
        <f aca="true">(IF(AND(Contents!$C$11&gt;0,Contents!$C$11-$G43&lt;6,Contents!$C$11-$G43&gt;=0),
ROUND(OFFSET(Contents!$B$73,0,(Contents!$C$11-$G43)-1)*J43,2),
IF(AND(Contents!$C$11&gt;0,J43&gt;0),J43,0)))</f>
        <v>0</v>
      </c>
      <c r="L43" s="753" t="n">
        <f aca="false">IF(H43="",0,ROUND(H43*J43*IF(Contents!$C$12=4,1,0),2))</f>
        <v>0</v>
      </c>
      <c r="M43" s="755" t="n">
        <f aca="false">IF(H43="",0,K43+L43)</f>
        <v>0</v>
      </c>
      <c r="N43" s="650"/>
      <c r="O43" s="762"/>
      <c r="P43" s="79" t="s">
        <v>91</v>
      </c>
      <c r="Q43" s="78"/>
      <c r="R43" s="78"/>
      <c r="S43" s="78"/>
      <c r="T43" s="78"/>
      <c r="U43" s="762"/>
    </row>
    <row r="44" customFormat="false" ht="14.25" hidden="false" customHeight="false" outlineLevel="0" collapsed="false">
      <c r="A44" s="742"/>
      <c r="B44" s="69"/>
      <c r="C44" s="650"/>
      <c r="D44" s="750"/>
      <c r="E44" s="751"/>
      <c r="F44" s="685"/>
      <c r="G44" s="685"/>
      <c r="H44" s="752" t="str">
        <f aca="true">IF(G44=0,"",
IF(AND(Contents!$C$11&gt;0,Contents!$C$11-$G44&lt;6,Contents!$C$11-$G44&gt;=0),
OFFSET(Contents!$B$75,0,(Contents!$C$11-$G44)),0))</f>
        <v/>
      </c>
      <c r="I44" s="753" t="n">
        <f aca="false">IF(AND(Contents!$C$13="Sequential", G44&gt;0, G44=Contents!$C$11, Contents!$C$12&gt;1, Contents!$C$12&gt;A44), J44,
IF(AND(G44&gt;0,G44&lt;Contents!$C$11), J44,0))</f>
        <v>0</v>
      </c>
      <c r="J44" s="754"/>
      <c r="K44" s="753" t="n">
        <f aca="true">(IF(AND(Contents!$C$11&gt;0,Contents!$C$11-$G44&lt;6,Contents!$C$11-$G44&gt;=0),
ROUND(OFFSET(Contents!$B$73,0,(Contents!$C$11-$G44)-1)*J44,2),
IF(AND(Contents!$C$11&gt;0,J44&gt;0),J44,0)))</f>
        <v>0</v>
      </c>
      <c r="L44" s="753" t="n">
        <f aca="false">IF(H44="",0,ROUND(H44*J44*IF(Contents!$C$12=4,1,0),2))</f>
        <v>0</v>
      </c>
      <c r="M44" s="755" t="n">
        <f aca="false">IF(H44="",0,K44+L44)</f>
        <v>0</v>
      </c>
      <c r="N44" s="650"/>
      <c r="O44" s="69"/>
      <c r="P44" s="78"/>
      <c r="Q44" s="78"/>
      <c r="R44" s="78"/>
      <c r="S44" s="78"/>
      <c r="T44" s="78"/>
      <c r="U44" s="69"/>
    </row>
    <row r="45" customFormat="false" ht="14.25" hidden="false" customHeight="false" outlineLevel="0" collapsed="false">
      <c r="A45" s="742"/>
      <c r="B45" s="69"/>
      <c r="C45" s="650"/>
      <c r="D45" s="750"/>
      <c r="E45" s="751"/>
      <c r="F45" s="685"/>
      <c r="G45" s="685"/>
      <c r="H45" s="752" t="str">
        <f aca="true">IF(G45=0,"",
IF(AND(Contents!$C$11&gt;0,Contents!$C$11-$G45&lt;6,Contents!$C$11-$G45&gt;=0),
OFFSET(Contents!$B$75,0,(Contents!$C$11-$G45)),0))</f>
        <v/>
      </c>
      <c r="I45" s="753" t="n">
        <f aca="false">IF(AND(Contents!$C$13="Sequential", G45&gt;0, G45=Contents!$C$11, Contents!$C$12&gt;1, Contents!$C$12&gt;A45), J45,
IF(AND(G45&gt;0,G45&lt;Contents!$C$11), J45,0))</f>
        <v>0</v>
      </c>
      <c r="J45" s="754"/>
      <c r="K45" s="753" t="n">
        <f aca="true">(IF(AND(Contents!$C$11&gt;0,Contents!$C$11-$G45&lt;6,Contents!$C$11-$G45&gt;=0),
ROUND(OFFSET(Contents!$B$73,0,(Contents!$C$11-$G45)-1)*J45,2),
IF(AND(Contents!$C$11&gt;0,J45&gt;0),J45,0)))</f>
        <v>0</v>
      </c>
      <c r="L45" s="753" t="n">
        <f aca="false">IF(H45="",0,ROUND(H45*J45*IF(Contents!$C$12=4,1,0),2))</f>
        <v>0</v>
      </c>
      <c r="M45" s="755" t="n">
        <f aca="false">IF(H45="",0,K45+L45)</f>
        <v>0</v>
      </c>
      <c r="N45" s="650"/>
      <c r="O45" s="69"/>
      <c r="P45" s="78"/>
      <c r="Q45" s="78"/>
      <c r="R45" s="78"/>
      <c r="S45" s="78"/>
      <c r="T45" s="78"/>
      <c r="U45" s="69"/>
    </row>
    <row r="46" customFormat="false" ht="14.25" hidden="false" customHeight="false" outlineLevel="0" collapsed="false">
      <c r="A46" s="742"/>
      <c r="B46" s="69"/>
      <c r="C46" s="650"/>
      <c r="D46" s="750"/>
      <c r="E46" s="751"/>
      <c r="F46" s="685"/>
      <c r="G46" s="685"/>
      <c r="H46" s="752" t="str">
        <f aca="true">IF(G46=0,"",
IF(AND(Contents!$C$11&gt;0,Contents!$C$11-$G46&lt;6,Contents!$C$11-$G46&gt;=0),
OFFSET(Contents!$B$75,0,(Contents!$C$11-$G46)),0))</f>
        <v/>
      </c>
      <c r="I46" s="753" t="n">
        <f aca="false">IF(AND(Contents!$C$13="Sequential", G46&gt;0, G46=Contents!$C$11, Contents!$C$12&gt;1, Contents!$C$12&gt;A46), J46,
IF(AND(G46&gt;0,G46&lt;Contents!$C$11), J46,0))</f>
        <v>0</v>
      </c>
      <c r="J46" s="754"/>
      <c r="K46" s="753" t="n">
        <f aca="true">(IF(AND(Contents!$C$11&gt;0,Contents!$C$11-$G46&lt;6,Contents!$C$11-$G46&gt;=0),
ROUND(OFFSET(Contents!$B$73,0,(Contents!$C$11-$G46)-1)*J46,2),
IF(AND(Contents!$C$11&gt;0,J46&gt;0),J46,0)))</f>
        <v>0</v>
      </c>
      <c r="L46" s="753" t="n">
        <f aca="false">IF(H46="",0,ROUND(H46*J46*IF(Contents!$C$12=4,1,0),2))</f>
        <v>0</v>
      </c>
      <c r="M46" s="755" t="n">
        <f aca="false">IF(H46="",0,K46+L46)</f>
        <v>0</v>
      </c>
      <c r="N46" s="650"/>
      <c r="O46" s="69"/>
      <c r="Q46" s="78"/>
      <c r="R46" s="78"/>
      <c r="S46" s="78"/>
      <c r="T46" s="78"/>
      <c r="U46" s="69"/>
    </row>
    <row r="47" customFormat="false" ht="14.25" hidden="false" customHeight="false" outlineLevel="0" collapsed="false">
      <c r="A47" s="742"/>
      <c r="B47" s="69"/>
      <c r="C47" s="650"/>
      <c r="D47" s="750"/>
      <c r="E47" s="751"/>
      <c r="F47" s="685"/>
      <c r="G47" s="685"/>
      <c r="H47" s="752" t="str">
        <f aca="true">IF(G47=0,"",
IF(AND(Contents!$C$11&gt;0,Contents!$C$11-$G47&lt;6,Contents!$C$11-$G47&gt;=0),
OFFSET(Contents!$B$75,0,(Contents!$C$11-$G47)),0))</f>
        <v/>
      </c>
      <c r="I47" s="753" t="n">
        <f aca="false">IF(AND(Contents!$C$13="Sequential", G47&gt;0, G47=Contents!$C$11, Contents!$C$12&gt;1, Contents!$C$12&gt;A47), J47,
IF(AND(G47&gt;0,G47&lt;Contents!$C$11), J47,0))</f>
        <v>0</v>
      </c>
      <c r="J47" s="754"/>
      <c r="K47" s="753" t="n">
        <f aca="true">(IF(AND(Contents!$C$11&gt;0,Contents!$C$11-$G47&lt;6,Contents!$C$11-$G47&gt;=0),
ROUND(OFFSET(Contents!$B$73,0,(Contents!$C$11-$G47)-1)*J47,2),
IF(AND(Contents!$C$11&gt;0,J47&gt;0),J47,0)))</f>
        <v>0</v>
      </c>
      <c r="L47" s="753" t="n">
        <f aca="false">IF(H47="",0,ROUND(H47*J47*IF(Contents!$C$12=4,1,0),2))</f>
        <v>0</v>
      </c>
      <c r="M47" s="755" t="n">
        <f aca="false">IF(H47="",0,K47+L47)</f>
        <v>0</v>
      </c>
      <c r="N47" s="650"/>
      <c r="O47" s="69"/>
      <c r="Q47" s="78"/>
      <c r="R47" s="78"/>
      <c r="S47" s="78"/>
      <c r="T47" s="78"/>
      <c r="U47" s="69"/>
    </row>
    <row r="48" customFormat="false" ht="14.25" hidden="false" customHeight="false" outlineLevel="0" collapsed="false">
      <c r="A48" s="742"/>
      <c r="B48" s="69"/>
      <c r="C48" s="650"/>
      <c r="D48" s="750"/>
      <c r="E48" s="751"/>
      <c r="F48" s="685"/>
      <c r="G48" s="685"/>
      <c r="H48" s="752" t="str">
        <f aca="true">IF(G48=0,"",
IF(AND(Contents!$C$11&gt;0,Contents!$C$11-$G48&lt;6,Contents!$C$11-$G48&gt;=0),
OFFSET(Contents!$B$75,0,(Contents!$C$11-$G48)),0))</f>
        <v/>
      </c>
      <c r="I48" s="753" t="n">
        <f aca="false">IF(AND(Contents!$C$13="Sequential", G48&gt;0, G48=Contents!$C$11, Contents!$C$12&gt;1, Contents!$C$12&gt;A48), J48,
IF(AND(G48&gt;0,G48&lt;Contents!$C$11), J48,0))</f>
        <v>0</v>
      </c>
      <c r="J48" s="754"/>
      <c r="K48" s="753" t="n">
        <f aca="true">(IF(AND(Contents!$C$11&gt;0,Contents!$C$11-$G48&lt;6,Contents!$C$11-$G48&gt;=0),
ROUND(OFFSET(Contents!$B$73,0,(Contents!$C$11-$G48)-1)*J48,2),
IF(AND(Contents!$C$11&gt;0,J48&gt;0),J48,0)))</f>
        <v>0</v>
      </c>
      <c r="L48" s="753" t="n">
        <f aca="false">IF(H48="",0,ROUND(H48*J48*IF(Contents!$C$12=4,1,0),2))</f>
        <v>0</v>
      </c>
      <c r="M48" s="755" t="n">
        <f aca="false">IF(H48="",0,K48+L48)</f>
        <v>0</v>
      </c>
      <c r="N48" s="650"/>
      <c r="O48" s="762"/>
      <c r="S48" s="78"/>
      <c r="U48" s="762"/>
    </row>
    <row r="49" customFormat="false" ht="14.25" hidden="false" customHeight="false" outlineLevel="0" collapsed="false">
      <c r="A49" s="742"/>
      <c r="B49" s="69"/>
      <c r="C49" s="650"/>
      <c r="D49" s="750"/>
      <c r="E49" s="751"/>
      <c r="F49" s="685"/>
      <c r="G49" s="685"/>
      <c r="H49" s="752" t="str">
        <f aca="true">IF(G49=0,"",
IF(AND(Contents!$C$11&gt;0,Contents!$C$11-$G49&lt;6,Contents!$C$11-$G49&gt;=0),
OFFSET(Contents!$B$75,0,(Contents!$C$11-$G49)),0))</f>
        <v/>
      </c>
      <c r="I49" s="753" t="n">
        <f aca="false">IF(AND(Contents!$C$13="Sequential", G49&gt;0, G49=Contents!$C$11, Contents!$C$12&gt;1, Contents!$C$12&gt;A49), J49,
IF(AND(G49&gt;0,G49&lt;Contents!$C$11), J49,0))</f>
        <v>0</v>
      </c>
      <c r="J49" s="754"/>
      <c r="K49" s="753" t="n">
        <f aca="true">(IF(AND(Contents!$C$11&gt;0,Contents!$C$11-$G49&lt;6,Contents!$C$11-$G49&gt;=0),
ROUND(OFFSET(Contents!$B$73,0,(Contents!$C$11-$G49)-1)*J49,2),
IF(AND(Contents!$C$11&gt;0,J49&gt;0),J49,0)))</f>
        <v>0</v>
      </c>
      <c r="L49" s="753" t="n">
        <f aca="false">IF(H49="",0,ROUND(H49*J49*IF(Contents!$C$12=4,1,0),2))</f>
        <v>0</v>
      </c>
      <c r="M49" s="755" t="n">
        <f aca="false">IF(H49="",0,K49+L49)</f>
        <v>0</v>
      </c>
      <c r="N49" s="650"/>
      <c r="O49" s="69"/>
      <c r="S49" s="78"/>
      <c r="U49" s="69"/>
    </row>
    <row r="50" customFormat="false" ht="14.25" hidden="false" customHeight="false" outlineLevel="0" collapsed="false">
      <c r="A50" s="742"/>
      <c r="B50" s="69"/>
      <c r="C50" s="650"/>
      <c r="D50" s="750"/>
      <c r="E50" s="751"/>
      <c r="F50" s="685"/>
      <c r="G50" s="685"/>
      <c r="H50" s="752" t="str">
        <f aca="true">IF(G50=0,"",
IF(AND(Contents!$C$11&gt;0,Contents!$C$11-$G50&lt;6,Contents!$C$11-$G50&gt;=0),
OFFSET(Contents!$B$75,0,(Contents!$C$11-$G50)),0))</f>
        <v/>
      </c>
      <c r="I50" s="753" t="n">
        <f aca="false">IF(AND(Contents!$C$13="Sequential", G50&gt;0, G50=Contents!$C$11, Contents!$C$12&gt;1, Contents!$C$12&gt;A50), J50,
IF(AND(G50&gt;0,G50&lt;Contents!$C$11), J50,0))</f>
        <v>0</v>
      </c>
      <c r="J50" s="754"/>
      <c r="K50" s="753" t="n">
        <f aca="true">(IF(AND(Contents!$C$11&gt;0,Contents!$C$11-$G50&lt;6,Contents!$C$11-$G50&gt;=0),
ROUND(OFFSET(Contents!$B$73,0,(Contents!$C$11-$G50)-1)*J50,2),
IF(AND(Contents!$C$11&gt;0,J50&gt;0),J50,0)))</f>
        <v>0</v>
      </c>
      <c r="L50" s="753" t="n">
        <f aca="false">IF(H50="",0,ROUND(H50*J50*IF(Contents!$C$12=4,1,0),2))</f>
        <v>0</v>
      </c>
      <c r="M50" s="755" t="n">
        <f aca="false">IF(H50="",0,K50+L50)</f>
        <v>0</v>
      </c>
      <c r="N50" s="650"/>
      <c r="O50" s="69"/>
      <c r="U50" s="69"/>
    </row>
    <row r="51" customFormat="false" ht="14.25" hidden="false" customHeight="false" outlineLevel="0" collapsed="false">
      <c r="A51" s="742"/>
      <c r="B51" s="69"/>
      <c r="C51" s="650"/>
      <c r="D51" s="750"/>
      <c r="E51" s="751"/>
      <c r="F51" s="685"/>
      <c r="G51" s="685"/>
      <c r="H51" s="752" t="str">
        <f aca="true">IF(G51=0,"",
IF(AND(Contents!$C$11&gt;0,Contents!$C$11-$G51&lt;6,Contents!$C$11-$G51&gt;=0),
OFFSET(Contents!$B$75,0,(Contents!$C$11-$G51)),0))</f>
        <v/>
      </c>
      <c r="I51" s="753" t="n">
        <f aca="false">IF(AND(Contents!$C$13="Sequential", G51&gt;0, G51=Contents!$C$11, Contents!$C$12&gt;1, Contents!$C$12&gt;A51), J51,
IF(AND(G51&gt;0,G51&lt;Contents!$C$11), J51,0))</f>
        <v>0</v>
      </c>
      <c r="J51" s="754"/>
      <c r="K51" s="753" t="n">
        <f aca="true">(IF(AND(Contents!$C$11&gt;0,Contents!$C$11-$G51&lt;6,Contents!$C$11-$G51&gt;=0),
ROUND(OFFSET(Contents!$B$73,0,(Contents!$C$11-$G51)-1)*J51,2),
IF(AND(Contents!$C$11&gt;0,J51&gt;0),J51,0)))</f>
        <v>0</v>
      </c>
      <c r="L51" s="753" t="n">
        <f aca="false">IF(H51="",0,ROUND(H51*J51*IF(Contents!$C$12=4,1,0),2))</f>
        <v>0</v>
      </c>
      <c r="M51" s="755" t="n">
        <f aca="false">IF(H51="",0,K51+L51)</f>
        <v>0</v>
      </c>
      <c r="N51" s="650"/>
      <c r="O51" s="69"/>
      <c r="U51" s="69"/>
    </row>
    <row r="52" customFormat="false" ht="14.25" hidden="false" customHeight="false" outlineLevel="0" collapsed="false">
      <c r="A52" s="742"/>
      <c r="B52" s="69"/>
      <c r="C52" s="650"/>
      <c r="D52" s="750"/>
      <c r="E52" s="751"/>
      <c r="F52" s="685"/>
      <c r="G52" s="685"/>
      <c r="H52" s="752" t="str">
        <f aca="true">IF(G52=0,"",
IF(AND(Contents!$C$11&gt;0,Contents!$C$11-$G52&lt;6,Contents!$C$11-$G52&gt;=0),
OFFSET(Contents!$B$75,0,(Contents!$C$11-$G52)),0))</f>
        <v/>
      </c>
      <c r="I52" s="753" t="n">
        <f aca="false">IF(AND(Contents!$C$13="Sequential", G52&gt;0, G52=Contents!$C$11, Contents!$C$12&gt;1, Contents!$C$12&gt;A52), J52,
IF(AND(G52&gt;0,G52&lt;Contents!$C$11), J52,0))</f>
        <v>0</v>
      </c>
      <c r="J52" s="754"/>
      <c r="K52" s="753" t="n">
        <f aca="true">(IF(AND(Contents!$C$11&gt;0,Contents!$C$11-$G52&lt;6,Contents!$C$11-$G52&gt;=0),
ROUND(OFFSET(Contents!$B$73,0,(Contents!$C$11-$G52)-1)*J52,2),
IF(AND(Contents!$C$11&gt;0,J52&gt;0),J52,0)))</f>
        <v>0</v>
      </c>
      <c r="L52" s="753" t="n">
        <f aca="false">IF(H52="",0,ROUND(H52*J52*IF(Contents!$C$12=4,1,0),2))</f>
        <v>0</v>
      </c>
      <c r="M52" s="755" t="n">
        <f aca="false">IF(H52="",0,K52+L52)</f>
        <v>0</v>
      </c>
      <c r="N52" s="650"/>
      <c r="O52" s="800"/>
      <c r="U52" s="800"/>
    </row>
    <row r="53" customFormat="false" ht="14.25" hidden="false" customHeight="false" outlineLevel="0" collapsed="false">
      <c r="A53" s="756"/>
      <c r="B53" s="69"/>
      <c r="C53" s="650"/>
      <c r="D53" s="750"/>
      <c r="E53" s="1278"/>
      <c r="F53" s="1279"/>
      <c r="G53" s="1279"/>
      <c r="H53" s="788" t="str">
        <f aca="true">IF(G53=0,"",
IF(AND(Contents!$C$11&gt;0,Contents!$C$11-$G53&lt;9,Contents!$C$11-$G53&gt;=0),
OFFSET(Contents!$B$79,0,(Contents!$C$11-$G53)),0))</f>
        <v/>
      </c>
      <c r="I53" s="1280" t="n">
        <f aca="false">IF(AND(Contents!$C$13="Sequential", G53&gt;0, G53=Contents!$C$11, Contents!$C$12&gt;1, Contents!$C$12&gt;A53), J53,
IF(AND(G53&gt;0,G53&lt;Contents!$C$11), J53,0))</f>
        <v>0</v>
      </c>
      <c r="J53" s="1281"/>
      <c r="K53" s="1280" t="n">
        <f aca="true">(IF(AND(Contents!$C$11&gt;0,Contents!$C$11-$G53&lt;6,Contents!$C$11-$G53&gt;=0),
ROUND(OFFSET(Contents!$B$77,0,(Contents!$C$11-$G53)-1)*J53,2),
IF(AND(Contents!$C$11&gt;0,J53&gt;0),J53,0)))</f>
        <v>0</v>
      </c>
      <c r="L53" s="1280" t="n">
        <f aca="false">IF(H53="",0,ROUND(H53*J53*IF(Contents!$C$12=4,1,0),2))</f>
        <v>0</v>
      </c>
      <c r="M53" s="1282" t="n">
        <f aca="false">IF(H53="",0,K53+L53)</f>
        <v>0</v>
      </c>
      <c r="N53" s="650"/>
      <c r="O53" s="69"/>
      <c r="U53" s="69"/>
    </row>
    <row r="54" customFormat="false" ht="14.25" hidden="false" customHeight="false" outlineLevel="0" collapsed="false">
      <c r="A54" s="69"/>
      <c r="B54" s="69"/>
      <c r="C54" s="650"/>
      <c r="D54" s="801"/>
      <c r="E54" s="1283"/>
      <c r="F54" s="1284" t="s">
        <v>554</v>
      </c>
      <c r="G54" s="1284"/>
      <c r="H54" s="1284"/>
      <c r="I54" s="1285" t="n">
        <f aca="false">SUM(I14:I53)</f>
        <v>12200</v>
      </c>
      <c r="J54" s="1285" t="n">
        <f aca="false">SUM(J14:J53)</f>
        <v>12200</v>
      </c>
      <c r="K54" s="1285" t="n">
        <f aca="false">SUM(K14:K53)</f>
        <v>12200</v>
      </c>
      <c r="L54" s="1285" t="n">
        <f aca="false">SUM(L14:L53)</f>
        <v>0</v>
      </c>
      <c r="M54" s="1286" t="n">
        <f aca="false">SUM(M14:M53)</f>
        <v>12200</v>
      </c>
      <c r="N54" s="650"/>
      <c r="O54" s="69"/>
      <c r="U54" s="69"/>
    </row>
    <row r="55" customFormat="false" ht="14.25" hidden="false" customHeight="false" outlineLevel="0" collapsed="false">
      <c r="A55" s="69"/>
      <c r="B55" s="69"/>
      <c r="C55" s="807"/>
      <c r="D55" s="808" t="s">
        <v>534</v>
      </c>
      <c r="E55" s="808"/>
      <c r="F55" s="808"/>
      <c r="G55" s="808"/>
      <c r="H55" s="808"/>
      <c r="I55" s="808"/>
      <c r="J55" s="808"/>
      <c r="K55" s="808"/>
      <c r="L55" s="808"/>
      <c r="M55" s="808"/>
      <c r="N55" s="807"/>
      <c r="O55" s="69"/>
      <c r="U55" s="69"/>
    </row>
    <row r="56" customFormat="false" ht="14.25" hidden="false" customHeight="false" outlineLevel="0" collapsed="false">
      <c r="A56" s="800"/>
      <c r="B56" s="69"/>
      <c r="C56" s="650"/>
      <c r="D56" s="809" t="s">
        <v>918</v>
      </c>
      <c r="E56" s="809"/>
      <c r="F56" s="809"/>
      <c r="G56" s="809"/>
      <c r="H56" s="809"/>
      <c r="I56" s="809"/>
      <c r="J56" s="809"/>
      <c r="K56" s="809"/>
      <c r="L56" s="809"/>
      <c r="M56" s="809"/>
      <c r="N56" s="650"/>
      <c r="O56" s="69"/>
      <c r="U56" s="69"/>
    </row>
    <row r="57" customFormat="false" ht="14.25" hidden="false" customHeight="false" outlineLevel="0" collapsed="false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U57" s="69"/>
    </row>
    <row r="58" customFormat="false" ht="14.25" hidden="false" customHeight="false" outlineLevel="0" collapsed="false">
      <c r="A58" s="238" t="s">
        <v>582</v>
      </c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U58" s="69"/>
    </row>
    <row r="59" customFormat="false" ht="14.25" hidden="false" customHeight="false" outlineLevel="0" collapsed="false">
      <c r="A59" s="238" t="s">
        <v>551</v>
      </c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U59" s="69"/>
    </row>
    <row r="60" customFormat="false" ht="14.25" hidden="false" customHeight="false" outlineLevel="0" collapsed="false">
      <c r="A60" s="238" t="s">
        <v>583</v>
      </c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U60" s="69"/>
    </row>
    <row r="61" customFormat="false" ht="14.25" hidden="false" customHeight="false" outlineLevel="0" collapsed="false">
      <c r="A61" s="238" t="n">
        <v>1</v>
      </c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U61" s="69"/>
    </row>
    <row r="62" customFormat="false" ht="14.25" hidden="false" customHeight="false" outlineLevel="0" collapsed="false">
      <c r="A62" s="238" t="n">
        <v>2</v>
      </c>
    </row>
    <row r="63" customFormat="false" ht="14.25" hidden="false" customHeight="false" outlineLevel="0" collapsed="false">
      <c r="A63" s="238" t="n">
        <v>3</v>
      </c>
    </row>
    <row r="64" customFormat="false" ht="14.25" hidden="false" customHeight="false" outlineLevel="0" collapsed="false">
      <c r="A64" s="238" t="n">
        <v>4</v>
      </c>
    </row>
  </sheetData>
  <sheetProtection algorithmName="SHA-512" hashValue="6loW7ktEezA+py10APiat7IFVMzQX/GtyoVGGYOrsN1NQySEsUPXbLTpsMZqO8fvTu8rk92a6IJt3fAtH+4NlQ==" saltValue="6hK142v0xxf3BurTqGflvQ==" spinCount="100000" sheet="true" objects="true" scenarios="true" selectLockedCells="true"/>
  <mergeCells count="9">
    <mergeCell ref="D3:M3"/>
    <mergeCell ref="D4:M4"/>
    <mergeCell ref="D6:M6"/>
    <mergeCell ref="D8:M8"/>
    <mergeCell ref="D9:M9"/>
    <mergeCell ref="D12:M12"/>
    <mergeCell ref="F54:H54"/>
    <mergeCell ref="D55:M55"/>
    <mergeCell ref="D56:M56"/>
  </mergeCells>
  <conditionalFormatting sqref="A14:A53">
    <cfRule type="expression" priority="2" aboveAverage="0" equalAverage="0" bottom="0" percent="0" rank="0" text="" dxfId="59">
      <formula>AND($P$53="Sequential",$P$54&gt;1,$P$55=$G14)</formula>
    </cfRule>
  </conditionalFormatting>
  <dataValidations count="5">
    <dataValidation allowBlank="true" error="Use the drop down box." errorStyle="stop" operator="between" showDropDown="false" showErrorMessage="true" showInputMessage="true" sqref="D14:D53" type="list">
      <formula1>$A$58:$A$60</formula1>
      <formula2>0</formula2>
    </dataValidation>
    <dataValidation allowBlank="true" errorStyle="stop" operator="between" showDropDown="false" showErrorMessage="true" showInputMessage="true" sqref="A14:A53" type="list">
      <formula1>$A$61:$A$65</formula1>
      <formula2>0</formula2>
    </dataValidation>
    <dataValidation allowBlank="true" error="Enter a whole quantity greater than zero." errorStyle="stop" operator="greaterThan" showDropDown="false" showErrorMessage="true" showInputMessage="true" sqref="F14:F53" type="whole">
      <formula1>0</formula1>
      <formula2>0</formula2>
    </dataValidation>
    <dataValidation allowBlank="true" error="Enter a dollar amount greater than zero." errorStyle="stop" operator="greaterThanOrEqual" showDropDown="false" showErrorMessage="true" showInputMessage="true" sqref="J14:J53" type="decimal">
      <formula1>0</formula1>
      <formula2>0</formula2>
    </dataValidation>
    <dataValidation allowBlank="true" error="Enter full year greater than 1960." errorStyle="stop" operator="greaterThan" showDropDown="false" showErrorMessage="true" showInputMessage="true" sqref="G14:G53" type="whole">
      <formula1>1960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64"/>
  <sheetViews>
    <sheetView showFormulas="false" showGridLines="true" showRowColHeaders="true" showZeros="true" rightToLeft="false" tabSelected="false" showOutlineSymbols="true" defaultGridColor="true" view="normal" topLeftCell="A3" colorId="64" zoomScale="100" zoomScaleNormal="100" zoomScalePageLayoutView="100" workbookViewId="0">
      <selection pane="topLeft" activeCell="A3" activeCellId="0" sqref="A3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1" min="1" style="1" width="5.62"/>
    <col collapsed="false" customWidth="true" hidden="false" outlineLevel="0" max="3" min="2" style="1" width="3.62"/>
    <col collapsed="false" customWidth="true" hidden="false" outlineLevel="0" max="4" min="4" style="1" width="4.38"/>
    <col collapsed="false" customWidth="true" hidden="false" outlineLevel="0" max="5" min="5" style="1" width="25.62"/>
    <col collapsed="false" customWidth="true" hidden="false" outlineLevel="0" max="6" min="6" style="1" width="7.5"/>
    <col collapsed="false" customWidth="true" hidden="false" outlineLevel="0" max="7" min="7" style="1" width="9.38"/>
    <col collapsed="false" customWidth="false" hidden="false" outlineLevel="0" max="13" min="8" style="1" width="9.13"/>
    <col collapsed="false" customWidth="true" hidden="false" outlineLevel="0" max="15" min="14" style="1" width="3.62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649"/>
      <c r="B1" s="64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729"/>
      <c r="B2" s="729"/>
      <c r="C2" s="730"/>
      <c r="D2" s="81" t="str">
        <f aca="false">Contents!B59</f>
        <v>Version: AS L 6 LARGE locked LOCAL</v>
      </c>
      <c r="E2" s="730"/>
      <c r="F2" s="730"/>
      <c r="G2" s="730"/>
      <c r="H2" s="730"/>
      <c r="I2" s="730"/>
      <c r="J2" s="730"/>
      <c r="K2" s="730"/>
      <c r="L2" s="730"/>
      <c r="M2" s="730"/>
      <c r="N2" s="730"/>
      <c r="O2" s="729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653"/>
      <c r="B3" s="653"/>
      <c r="C3" s="654"/>
      <c r="D3" s="655" t="str">
        <f aca="false">Contents!$E$3</f>
        <v>THE SOCIETY FOR CREATIVE ANACHRONISM, INC.</v>
      </c>
      <c r="E3" s="655"/>
      <c r="F3" s="655"/>
      <c r="G3" s="655"/>
      <c r="H3" s="655"/>
      <c r="I3" s="655"/>
      <c r="J3" s="655"/>
      <c r="K3" s="655"/>
      <c r="L3" s="655"/>
      <c r="M3" s="655"/>
      <c r="N3" s="654"/>
      <c r="O3" s="653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653"/>
      <c r="B4" s="653"/>
      <c r="C4" s="654"/>
      <c r="D4" s="655" t="str">
        <f aca="false">Contents!$E$4</f>
        <v>FINANCIAL REPORT</v>
      </c>
      <c r="E4" s="655"/>
      <c r="F4" s="655"/>
      <c r="G4" s="655"/>
      <c r="H4" s="655"/>
      <c r="I4" s="655"/>
      <c r="J4" s="655"/>
      <c r="K4" s="655"/>
      <c r="L4" s="655"/>
      <c r="M4" s="655"/>
      <c r="N4" s="654"/>
      <c r="O4" s="69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69"/>
      <c r="B5" s="69"/>
      <c r="C5" s="650"/>
      <c r="D5" s="657"/>
      <c r="E5" s="650"/>
      <c r="F5" s="650"/>
      <c r="G5" s="650"/>
      <c r="H5" s="650"/>
      <c r="I5" s="650"/>
      <c r="J5" s="650"/>
      <c r="K5" s="650"/>
      <c r="L5" s="657"/>
      <c r="M5" s="657"/>
      <c r="N5" s="650"/>
      <c r="O5" s="69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69"/>
      <c r="B6" s="69"/>
      <c r="C6" s="650"/>
      <c r="D6" s="658" t="str">
        <f aca="false">Contents!B58</f>
        <v>Branch:   SCA, Inc.- Middle Kingdom                                               Period:  1/01/2025             to     12/31/2025            .</v>
      </c>
      <c r="E6" s="658"/>
      <c r="F6" s="658"/>
      <c r="G6" s="658"/>
      <c r="H6" s="658"/>
      <c r="I6" s="658"/>
      <c r="J6" s="658"/>
      <c r="K6" s="658"/>
      <c r="L6" s="658"/>
      <c r="M6" s="658"/>
      <c r="N6" s="650"/>
      <c r="O6" s="729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729"/>
      <c r="B7" s="729"/>
      <c r="C7" s="730"/>
      <c r="D7" s="731"/>
      <c r="E7" s="730"/>
      <c r="F7" s="730"/>
      <c r="G7" s="730"/>
      <c r="H7" s="730"/>
      <c r="I7" s="730"/>
      <c r="J7" s="730"/>
      <c r="K7" s="730"/>
      <c r="L7" s="731"/>
      <c r="M7" s="731"/>
      <c r="N7" s="730"/>
      <c r="O7" s="69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69"/>
      <c r="B8" s="69"/>
      <c r="C8" s="650"/>
      <c r="D8" s="659" t="s">
        <v>919</v>
      </c>
      <c r="E8" s="659"/>
      <c r="F8" s="659"/>
      <c r="G8" s="659"/>
      <c r="H8" s="659"/>
      <c r="I8" s="659"/>
      <c r="J8" s="659"/>
      <c r="K8" s="659"/>
      <c r="L8" s="659"/>
      <c r="M8" s="659"/>
      <c r="N8" s="650"/>
      <c r="O8" s="729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729"/>
      <c r="B9" s="729"/>
      <c r="C9" s="730"/>
      <c r="D9" s="732" t="s">
        <v>916</v>
      </c>
      <c r="E9" s="732"/>
      <c r="F9" s="732"/>
      <c r="G9" s="732"/>
      <c r="H9" s="732"/>
      <c r="I9" s="732"/>
      <c r="J9" s="732"/>
      <c r="K9" s="732"/>
      <c r="L9" s="732"/>
      <c r="M9" s="732"/>
      <c r="N9" s="730"/>
      <c r="O9" s="69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4.25" hidden="false" customHeight="false" outlineLevel="0" collapsed="false">
      <c r="A10" s="69"/>
      <c r="B10" s="69"/>
      <c r="C10" s="650"/>
      <c r="D10" s="733"/>
      <c r="E10" s="731"/>
      <c r="F10" s="731"/>
      <c r="G10" s="731"/>
      <c r="H10" s="731"/>
      <c r="I10" s="731"/>
      <c r="J10" s="731"/>
      <c r="K10" s="731"/>
      <c r="L10" s="733"/>
      <c r="M10" s="731"/>
      <c r="N10" s="730"/>
      <c r="O10" s="69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5" hidden="false" customHeight="false" outlineLevel="0" collapsed="false">
      <c r="A11" s="69"/>
      <c r="B11" s="69"/>
      <c r="C11" s="650"/>
      <c r="D11" s="734" t="s">
        <v>559</v>
      </c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9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false" outlineLevel="0" collapsed="false">
      <c r="A12" s="69"/>
      <c r="B12" s="69"/>
      <c r="C12" s="650"/>
      <c r="D12" s="1287" t="s">
        <v>920</v>
      </c>
      <c r="E12" s="1287"/>
      <c r="F12" s="1287"/>
      <c r="G12" s="1287"/>
      <c r="H12" s="1287"/>
      <c r="I12" s="1287"/>
      <c r="J12" s="1287"/>
      <c r="K12" s="1287"/>
      <c r="L12" s="1287"/>
      <c r="M12" s="1287"/>
      <c r="N12" s="650"/>
      <c r="O12" s="69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46.15" hidden="false" customHeight="false" outlineLevel="0" collapsed="false">
      <c r="A13" s="736" t="s">
        <v>540</v>
      </c>
      <c r="B13" s="69"/>
      <c r="C13" s="650"/>
      <c r="D13" s="737" t="s">
        <v>541</v>
      </c>
      <c r="E13" s="738" t="s">
        <v>542</v>
      </c>
      <c r="F13" s="739" t="s">
        <v>543</v>
      </c>
      <c r="G13" s="1288" t="s">
        <v>544</v>
      </c>
      <c r="H13" s="740" t="s">
        <v>545</v>
      </c>
      <c r="I13" s="740" t="s">
        <v>546</v>
      </c>
      <c r="J13" s="740" t="s">
        <v>547</v>
      </c>
      <c r="K13" s="740" t="s">
        <v>548</v>
      </c>
      <c r="L13" s="740" t="s">
        <v>549</v>
      </c>
      <c r="M13" s="741" t="s">
        <v>550</v>
      </c>
      <c r="N13" s="650"/>
      <c r="O13" s="69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false" outlineLevel="0" collapsed="false">
      <c r="A14" s="742"/>
      <c r="B14" s="69"/>
      <c r="C14" s="650"/>
      <c r="D14" s="1289"/>
      <c r="E14" s="744"/>
      <c r="F14" s="745"/>
      <c r="G14" s="745"/>
      <c r="H14" s="1290" t="str">
        <f aca="true">IF(G14=0,"",
IF(AND(Contents!$C$11&gt;0,Contents!$C$11-$G14&lt;6,Contents!$C$11-$G14&gt;=0),
OFFSET(Contents!$B$79,0,(Contents!$C$11-$G14)),0))</f>
        <v/>
      </c>
      <c r="I14" s="747" t="n">
        <f aca="false">IF(AND(Contents!$C$13="Sequential", G14&gt;0, G14=Contents!$C$11, Contents!$C$12&gt;1, Contents!$C$12&gt;A14), J14,
IF(AND(G14&gt;0,G14&lt;Contents!$C$11), J14,0))</f>
        <v>0</v>
      </c>
      <c r="J14" s="748"/>
      <c r="K14" s="784" t="n">
        <f aca="true">(IF(AND(Contents!$C$11&gt;0,Contents!$C$11-$G14&lt;9,Contents!$C$11-$G14&gt;=0),
ROUND(OFFSET(Contents!$B$73,0,(Contents!$C$11-$G14)-1)*J14,2),
IF(AND(Contents!$C$11&gt;0,J14&gt;0),J14,0)))</f>
        <v>0</v>
      </c>
      <c r="L14" s="747" t="n">
        <f aca="false">IF(H14="",0,ROUND(H14*J14*IF(Contents!$C$12=4,1,0),2))</f>
        <v>0</v>
      </c>
      <c r="M14" s="749" t="n">
        <f aca="false">IF(H14="",0,K14+L14)</f>
        <v>0</v>
      </c>
      <c r="N14" s="650"/>
      <c r="O14" s="69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742"/>
      <c r="B15" s="69"/>
      <c r="C15" s="650"/>
      <c r="D15" s="1291"/>
      <c r="E15" s="751"/>
      <c r="F15" s="685"/>
      <c r="G15" s="685"/>
      <c r="H15" s="786" t="str">
        <f aca="true">IF(G15=0,"",
IF(AND(Contents!$C$11&gt;0,Contents!$C$11-$G15&lt;6,Contents!$C$11-$G15&gt;=0),
OFFSET(Contents!$B$79,0,(Contents!$C$11-$G15)),0))</f>
        <v/>
      </c>
      <c r="I15" s="753" t="n">
        <f aca="false">IF(AND(Contents!$C$13="Sequential", G15&gt;0, G15=Contents!$C$11, Contents!$C$12&gt;1, Contents!$C$12&gt;A15), J15,
IF(AND(G15&gt;0,G15&lt;Contents!$C$11), J15,0))</f>
        <v>0</v>
      </c>
      <c r="J15" s="754"/>
      <c r="K15" s="787" t="n">
        <f aca="true">(IF(AND(Contents!$C$11&gt;0,Contents!$C$11-$G15&lt;9,Contents!$C$11-$G15&gt;=0),
ROUND(OFFSET(Contents!$B$73,0,(Contents!$C$11-$G15)-1)*J15,2),
IF(AND(Contents!$C$11&gt;0,J15&gt;0),J15,0)))</f>
        <v>0</v>
      </c>
      <c r="L15" s="753" t="n">
        <f aca="false">IF(H15="",0,ROUND(H15*J15*IF(Contents!$C$12=4,1,0),2))</f>
        <v>0</v>
      </c>
      <c r="M15" s="755" t="n">
        <f aca="false">IF(H15="",0,K15+L15)</f>
        <v>0</v>
      </c>
      <c r="N15" s="650"/>
      <c r="O15" s="69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false" outlineLevel="0" collapsed="false">
      <c r="A16" s="742"/>
      <c r="B16" s="69"/>
      <c r="C16" s="650"/>
      <c r="D16" s="1291"/>
      <c r="E16" s="751"/>
      <c r="F16" s="685"/>
      <c r="G16" s="685"/>
      <c r="H16" s="786" t="str">
        <f aca="true">IF(G16=0,"",
IF(AND(Contents!$C$11&gt;0,Contents!$C$11-$G16&lt;6,Contents!$C$11-$G16&gt;=0),
OFFSET(Contents!$B$79,0,(Contents!$C$11-$G16)),0))</f>
        <v/>
      </c>
      <c r="I16" s="753" t="n">
        <f aca="false">IF(AND(Contents!$C$13="Sequential", G16&gt;0, G16=Contents!$C$11, Contents!$C$12&gt;1, Contents!$C$12&gt;A16), J16,
IF(AND(G16&gt;0,G16&lt;Contents!$C$11), J16,0))</f>
        <v>0</v>
      </c>
      <c r="J16" s="754"/>
      <c r="K16" s="787" t="n">
        <f aca="true">(IF(AND(Contents!$C$11&gt;0,Contents!$C$11-$G16&lt;9,Contents!$C$11-$G16&gt;=0),
ROUND(OFFSET(Contents!$B$73,0,(Contents!$C$11-$G16)-1)*J16,2),
IF(AND(Contents!$C$11&gt;0,J16&gt;0),J16,0)))</f>
        <v>0</v>
      </c>
      <c r="L16" s="753" t="n">
        <f aca="false">IF(H16="",0,ROUND(H16*J16*IF(Contents!$C$12=4,1,0),2))</f>
        <v>0</v>
      </c>
      <c r="M16" s="755" t="n">
        <f aca="false">IF(H16="",0,K16+L16)</f>
        <v>0</v>
      </c>
      <c r="N16" s="650"/>
      <c r="O16" s="69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A17" s="742"/>
      <c r="B17" s="69"/>
      <c r="C17" s="650"/>
      <c r="D17" s="1291"/>
      <c r="E17" s="751"/>
      <c r="F17" s="685"/>
      <c r="G17" s="685"/>
      <c r="H17" s="786" t="str">
        <f aca="true">IF(G17=0,"",
IF(AND(Contents!$C$11&gt;0,Contents!$C$11-$G17&lt;6,Contents!$C$11-$G17&gt;=0),
OFFSET(Contents!$B$79,0,(Contents!$C$11-$G17)),0))</f>
        <v/>
      </c>
      <c r="I17" s="753" t="n">
        <f aca="false">IF(AND(Contents!$C$13="Sequential", G17&gt;0, G17=Contents!$C$11, Contents!$C$12&gt;1, Contents!$C$12&gt;A17), J17,
IF(AND(G17&gt;0,G17&lt;Contents!$C$11), J17,0))</f>
        <v>0</v>
      </c>
      <c r="J17" s="754"/>
      <c r="K17" s="787" t="n">
        <f aca="true">(IF(AND(Contents!$C$11&gt;0,Contents!$C$11-$G17&lt;9,Contents!$C$11-$G17&gt;=0),
ROUND(OFFSET(Contents!$B$73,0,(Contents!$C$11-$G17)-1)*J17,2),
IF(AND(Contents!$C$11&gt;0,J17&gt;0),J17,0)))</f>
        <v>0</v>
      </c>
      <c r="L17" s="753" t="n">
        <f aca="false">IF(H17="",0,ROUND(H17*J17*IF(Contents!$C$12=4,1,0),2))</f>
        <v>0</v>
      </c>
      <c r="M17" s="755" t="n">
        <f aca="false">IF(H17="",0,K17+L17)</f>
        <v>0</v>
      </c>
      <c r="N17" s="650"/>
      <c r="O17" s="69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A18" s="742"/>
      <c r="B18" s="69"/>
      <c r="C18" s="650"/>
      <c r="D18" s="1291"/>
      <c r="E18" s="751"/>
      <c r="F18" s="685"/>
      <c r="G18" s="685"/>
      <c r="H18" s="786" t="str">
        <f aca="true">IF(G18=0,"",
IF(AND(Contents!$C$11&gt;0,Contents!$C$11-$G18&lt;6,Contents!$C$11-$G18&gt;=0),
OFFSET(Contents!$B$79,0,(Contents!$C$11-$G18)),0))</f>
        <v/>
      </c>
      <c r="I18" s="753" t="n">
        <f aca="false">IF(AND(Contents!$C$13="Sequential", G18&gt;0, G18=Contents!$C$11, Contents!$C$12&gt;1, Contents!$C$12&gt;A18), J18,
IF(AND(G18&gt;0,G18&lt;Contents!$C$11), J18,0))</f>
        <v>0</v>
      </c>
      <c r="J18" s="754"/>
      <c r="K18" s="787" t="n">
        <f aca="true">(IF(AND(Contents!$C$11&gt;0,Contents!$C$11-$G18&lt;9,Contents!$C$11-$G18&gt;=0),
ROUND(OFFSET(Contents!$B$73,0,(Contents!$C$11-$G18)-1)*J18,2),
IF(AND(Contents!$C$11&gt;0,J18&gt;0),J18,0)))</f>
        <v>0</v>
      </c>
      <c r="L18" s="753" t="n">
        <f aca="false">IF(H18="",0,ROUND(H18*J18*IF(Contents!$C$12=4,1,0),2))</f>
        <v>0</v>
      </c>
      <c r="M18" s="755" t="n">
        <f aca="false">IF(H18="",0,K18+L18)</f>
        <v>0</v>
      </c>
      <c r="N18" s="650"/>
      <c r="O18" s="69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14.25" hidden="false" customHeight="false" outlineLevel="0" collapsed="false">
      <c r="A19" s="742"/>
      <c r="B19" s="69"/>
      <c r="C19" s="650"/>
      <c r="D19" s="1291"/>
      <c r="E19" s="751"/>
      <c r="F19" s="685"/>
      <c r="G19" s="685"/>
      <c r="H19" s="786" t="str">
        <f aca="true">IF(G19=0,"",
IF(AND(Contents!$C$11&gt;0,Contents!$C$11-$G19&lt;6,Contents!$C$11-$G19&gt;=0),
OFFSET(Contents!$B$79,0,(Contents!$C$11-$G19)),0))</f>
        <v/>
      </c>
      <c r="I19" s="753" t="n">
        <f aca="false">IF(AND(Contents!$C$13="Sequential", G19&gt;0, G19=Contents!$C$11, Contents!$C$12&gt;1, Contents!$C$12&gt;A19), J19,
IF(AND(G19&gt;0,G19&lt;Contents!$C$11), J19,0))</f>
        <v>0</v>
      </c>
      <c r="J19" s="754"/>
      <c r="K19" s="787" t="n">
        <f aca="true">(IF(AND(Contents!$C$11&gt;0,Contents!$C$11-$G19&lt;9,Contents!$C$11-$G19&gt;=0),
ROUND(OFFSET(Contents!$B$73,0,(Contents!$C$11-$G19)-1)*J19,2),
IF(AND(Contents!$C$11&gt;0,J19&gt;0),J19,0)))</f>
        <v>0</v>
      </c>
      <c r="L19" s="753" t="n">
        <f aca="false">IF(H19="",0,ROUND(H19*J19*IF(Contents!$C$12=4,1,0),2))</f>
        <v>0</v>
      </c>
      <c r="M19" s="755" t="n">
        <f aca="false">IF(H19="",0,K19+L19)</f>
        <v>0</v>
      </c>
      <c r="N19" s="650"/>
      <c r="O19" s="69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14.25" hidden="false" customHeight="false" outlineLevel="0" collapsed="false">
      <c r="A20" s="742"/>
      <c r="B20" s="69"/>
      <c r="C20" s="650"/>
      <c r="D20" s="1291"/>
      <c r="E20" s="751"/>
      <c r="F20" s="685"/>
      <c r="G20" s="685"/>
      <c r="H20" s="786" t="str">
        <f aca="true">IF(G20=0,"",
IF(AND(Contents!$C$11&gt;0,Contents!$C$11-$G20&lt;6,Contents!$C$11-$G20&gt;=0),
OFFSET(Contents!$B$79,0,(Contents!$C$11-$G20)),0))</f>
        <v/>
      </c>
      <c r="I20" s="753" t="n">
        <f aca="false">IF(AND(Contents!$C$13="Sequential", G20&gt;0, G20=Contents!$C$11, Contents!$C$12&gt;1, Contents!$C$12&gt;A20), J20,
IF(AND(G20&gt;0,G20&lt;Contents!$C$11), J20,0))</f>
        <v>0</v>
      </c>
      <c r="J20" s="754"/>
      <c r="K20" s="787" t="n">
        <f aca="true">(IF(AND(Contents!$C$11&gt;0,Contents!$C$11-$G20&lt;9,Contents!$C$11-$G20&gt;=0),
ROUND(OFFSET(Contents!$B$73,0,(Contents!$C$11-$G20)-1)*J20,2),
IF(AND(Contents!$C$11&gt;0,J20&gt;0),J20,0)))</f>
        <v>0</v>
      </c>
      <c r="L20" s="753" t="n">
        <f aca="false">IF(H20="",0,ROUND(H20*J20*IF(Contents!$C$12=4,1,0),2))</f>
        <v>0</v>
      </c>
      <c r="M20" s="755" t="n">
        <f aca="false">IF(H20="",0,K20+L20)</f>
        <v>0</v>
      </c>
      <c r="N20" s="650"/>
      <c r="O20" s="69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14.25" hidden="false" customHeight="false" outlineLevel="0" collapsed="false">
      <c r="A21" s="742"/>
      <c r="B21" s="69"/>
      <c r="C21" s="650"/>
      <c r="D21" s="1291"/>
      <c r="E21" s="751"/>
      <c r="F21" s="685"/>
      <c r="G21" s="685"/>
      <c r="H21" s="786" t="str">
        <f aca="true">IF(G21=0,"",
IF(AND(Contents!$C$11&gt;0,Contents!$C$11-$G21&lt;6,Contents!$C$11-$G21&gt;=0),
OFFSET(Contents!$B$79,0,(Contents!$C$11-$G21)),0))</f>
        <v/>
      </c>
      <c r="I21" s="753" t="n">
        <f aca="false">IF(AND(Contents!$C$13="Sequential", G21&gt;0, G21=Contents!$C$11, Contents!$C$12&gt;1, Contents!$C$12&gt;A21), J21,
IF(AND(G21&gt;0,G21&lt;Contents!$C$11), J21,0))</f>
        <v>0</v>
      </c>
      <c r="J21" s="754"/>
      <c r="K21" s="787" t="n">
        <f aca="true">(IF(AND(Contents!$C$11&gt;0,Contents!$C$11-$G21&lt;9,Contents!$C$11-$G21&gt;=0),
ROUND(OFFSET(Contents!$B$73,0,(Contents!$C$11-$G21)-1)*J21,2),
IF(AND(Contents!$C$11&gt;0,J21&gt;0),J21,0)))</f>
        <v>0</v>
      </c>
      <c r="L21" s="753" t="n">
        <f aca="false">IF(H21="",0,ROUND(H21*J21*IF(Contents!$C$12=4,1,0),2))</f>
        <v>0</v>
      </c>
      <c r="M21" s="755" t="n">
        <f aca="false">IF(H21="",0,K21+L21)</f>
        <v>0</v>
      </c>
      <c r="N21" s="650"/>
      <c r="O21" s="69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14.25" hidden="false" customHeight="false" outlineLevel="0" collapsed="false">
      <c r="A22" s="742"/>
      <c r="B22" s="69"/>
      <c r="C22" s="650"/>
      <c r="D22" s="1291"/>
      <c r="E22" s="751"/>
      <c r="F22" s="685"/>
      <c r="G22" s="685"/>
      <c r="H22" s="786" t="str">
        <f aca="true">IF(G22=0,"",
IF(AND(Contents!$C$11&gt;0,Contents!$C$11-$G22&lt;6,Contents!$C$11-$G22&gt;=0),
OFFSET(Contents!$B$79,0,(Contents!$C$11-$G22)),0))</f>
        <v/>
      </c>
      <c r="I22" s="753" t="n">
        <f aca="false">IF(AND(Contents!$C$13="Sequential", G22&gt;0, G22=Contents!$C$11, Contents!$C$12&gt;1, Contents!$C$12&gt;A22), J22,
IF(AND(G22&gt;0,G22&lt;Contents!$C$11), J22,0))</f>
        <v>0</v>
      </c>
      <c r="J22" s="754"/>
      <c r="K22" s="787" t="n">
        <f aca="true">(IF(AND(Contents!$C$11&gt;0,Contents!$C$11-$G22&lt;9,Contents!$C$11-$G22&gt;=0),
ROUND(OFFSET(Contents!$B$73,0,(Contents!$C$11-$G22)-1)*J22,2),
IF(AND(Contents!$C$11&gt;0,J22&gt;0),J22,0)))</f>
        <v>0</v>
      </c>
      <c r="L22" s="753" t="n">
        <f aca="false">IF(H22="",0,ROUND(H22*J22*IF(Contents!$C$12=4,1,0),2))</f>
        <v>0</v>
      </c>
      <c r="M22" s="755" t="n">
        <f aca="false">IF(H22="",0,K22+L22)</f>
        <v>0</v>
      </c>
      <c r="N22" s="650"/>
      <c r="O22" s="69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14.25" hidden="false" customHeight="false" outlineLevel="0" collapsed="false">
      <c r="A23" s="742"/>
      <c r="B23" s="69"/>
      <c r="C23" s="650"/>
      <c r="D23" s="1291"/>
      <c r="E23" s="751"/>
      <c r="F23" s="685"/>
      <c r="G23" s="685"/>
      <c r="H23" s="786" t="str">
        <f aca="true">IF(G23=0,"",
IF(AND(Contents!$C$11&gt;0,Contents!$C$11-$G23&lt;6,Contents!$C$11-$G23&gt;=0),
OFFSET(Contents!$B$79,0,(Contents!$C$11-$G23)),0))</f>
        <v/>
      </c>
      <c r="I23" s="753" t="n">
        <f aca="false">IF(AND(Contents!$C$13="Sequential", G23&gt;0, G23=Contents!$C$11, Contents!$C$12&gt;1, Contents!$C$12&gt;A23), J23,
IF(AND(G23&gt;0,G23&lt;Contents!$C$11), J23,0))</f>
        <v>0</v>
      </c>
      <c r="J23" s="754"/>
      <c r="K23" s="787" t="n">
        <f aca="true">(IF(AND(Contents!$C$11&gt;0,Contents!$C$11-$G23&lt;9,Contents!$C$11-$G23&gt;=0),
ROUND(OFFSET(Contents!$B$73,0,(Contents!$C$11-$G23)-1)*J23,2),
IF(AND(Contents!$C$11&gt;0,J23&gt;0),J23,0)))</f>
        <v>0</v>
      </c>
      <c r="L23" s="753" t="n">
        <f aca="false">IF(H23="",0,ROUND(H23*J23*IF(Contents!$C$12=4,1,0),2))</f>
        <v>0</v>
      </c>
      <c r="M23" s="755" t="n">
        <f aca="false">IF(H23="",0,K23+L23)</f>
        <v>0</v>
      </c>
      <c r="N23" s="650"/>
      <c r="O23" s="69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4.25" hidden="false" customHeight="false" outlineLevel="0" collapsed="false">
      <c r="A24" s="742"/>
      <c r="B24" s="69"/>
      <c r="C24" s="650"/>
      <c r="D24" s="1291"/>
      <c r="E24" s="751"/>
      <c r="F24" s="685"/>
      <c r="G24" s="685"/>
      <c r="H24" s="786" t="str">
        <f aca="true">IF(G24=0,"",
IF(AND(Contents!$C$11&gt;0,Contents!$C$11-$G24&lt;6,Contents!$C$11-$G24&gt;=0),
OFFSET(Contents!$B$79,0,(Contents!$C$11-$G24)),0))</f>
        <v/>
      </c>
      <c r="I24" s="753" t="n">
        <f aca="false">IF(AND(Contents!$C$13="Sequential", G24&gt;0, G24=Contents!$C$11, Contents!$C$12&gt;1, Contents!$C$12&gt;A24), J24,
IF(AND(G24&gt;0,G24&lt;Contents!$C$11), J24,0))</f>
        <v>0</v>
      </c>
      <c r="J24" s="754"/>
      <c r="K24" s="787" t="n">
        <f aca="true">(IF(AND(Contents!$C$11&gt;0,Contents!$C$11-$G24&lt;9,Contents!$C$11-$G24&gt;=0),
ROUND(OFFSET(Contents!$B$73,0,(Contents!$C$11-$G24)-1)*J24,2),
IF(AND(Contents!$C$11&gt;0,J24&gt;0),J24,0)))</f>
        <v>0</v>
      </c>
      <c r="L24" s="753" t="n">
        <f aca="false">IF(H24="",0,ROUND(H24*J24*IF(Contents!$C$12=4,1,0),2))</f>
        <v>0</v>
      </c>
      <c r="M24" s="755" t="n">
        <f aca="false">IF(H24="",0,K24+L24)</f>
        <v>0</v>
      </c>
      <c r="N24" s="650"/>
      <c r="O24" s="69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14.25" hidden="false" customHeight="false" outlineLevel="0" collapsed="false">
      <c r="A25" s="742"/>
      <c r="B25" s="69"/>
      <c r="C25" s="650"/>
      <c r="D25" s="1291"/>
      <c r="E25" s="751"/>
      <c r="F25" s="685"/>
      <c r="G25" s="685"/>
      <c r="H25" s="786" t="str">
        <f aca="true">IF(G25=0,"",
IF(AND(Contents!$C$11&gt;0,Contents!$C$11-$G25&lt;6,Contents!$C$11-$G25&gt;=0),
OFFSET(Contents!$B$79,0,(Contents!$C$11-$G25)),0))</f>
        <v/>
      </c>
      <c r="I25" s="753" t="n">
        <f aca="false">IF(AND(Contents!$C$13="Sequential", G25&gt;0, G25=Contents!$C$11, Contents!$C$12&gt;1, Contents!$C$12&gt;A25), J25,
IF(AND(G25&gt;0,G25&lt;Contents!$C$11), J25,0))</f>
        <v>0</v>
      </c>
      <c r="J25" s="754"/>
      <c r="K25" s="787" t="n">
        <f aca="true">(IF(AND(Contents!$C$11&gt;0,Contents!$C$11-$G25&lt;9,Contents!$C$11-$G25&gt;=0),
ROUND(OFFSET(Contents!$B$73,0,(Contents!$C$11-$G25)-1)*J25,2),
IF(AND(Contents!$C$11&gt;0,J25&gt;0),J25,0)))</f>
        <v>0</v>
      </c>
      <c r="L25" s="753" t="n">
        <f aca="false">IF(H25="",0,ROUND(H25*J25*IF(Contents!$C$12=4,1,0),2))</f>
        <v>0</v>
      </c>
      <c r="M25" s="755" t="n">
        <f aca="false">IF(H25="",0,K25+L25)</f>
        <v>0</v>
      </c>
      <c r="N25" s="650"/>
      <c r="O25" s="762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5" hidden="false" customHeight="false" outlineLevel="0" collapsed="false">
      <c r="A26" s="742"/>
      <c r="B26" s="69"/>
      <c r="C26" s="650"/>
      <c r="D26" s="1291"/>
      <c r="E26" s="751"/>
      <c r="F26" s="685"/>
      <c r="G26" s="685"/>
      <c r="H26" s="786" t="str">
        <f aca="true">IF(G26=0,"",
IF(AND(Contents!$C$11&gt;0,Contents!$C$11-$G26&lt;6,Contents!$C$11-$G26&gt;=0),
OFFSET(Contents!$B$79,0,(Contents!$C$11-$G26)),0))</f>
        <v/>
      </c>
      <c r="I26" s="753" t="n">
        <f aca="false">IF(AND(Contents!$C$13="Sequential", G26&gt;0, G26=Contents!$C$11, Contents!$C$12&gt;1, Contents!$C$12&gt;A26), J26,
IF(AND(G26&gt;0,G26&lt;Contents!$C$11), J26,0))</f>
        <v>0</v>
      </c>
      <c r="J26" s="754"/>
      <c r="K26" s="787" t="n">
        <f aca="true">(IF(AND(Contents!$C$11&gt;0,Contents!$C$11-$G26&lt;9,Contents!$C$11-$G26&gt;=0),
ROUND(OFFSET(Contents!$B$73,0,(Contents!$C$11-$G26)-1)*J26,2),
IF(AND(Contents!$C$11&gt;0,J26&gt;0),J26,0)))</f>
        <v>0</v>
      </c>
      <c r="L26" s="753" t="n">
        <f aca="false">IF(H26="",0,ROUND(H26*J26*IF(Contents!$C$12=4,1,0),2))</f>
        <v>0</v>
      </c>
      <c r="M26" s="755" t="n">
        <f aca="false">IF(H26="",0,K26+L26)</f>
        <v>0</v>
      </c>
      <c r="N26" s="650"/>
      <c r="O26" s="768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false" outlineLevel="0" collapsed="false">
      <c r="A27" s="742"/>
      <c r="B27" s="69"/>
      <c r="C27" s="650"/>
      <c r="D27" s="1291"/>
      <c r="E27" s="751"/>
      <c r="F27" s="685"/>
      <c r="G27" s="685"/>
      <c r="H27" s="786" t="str">
        <f aca="true">IF(G27=0,"",
IF(AND(Contents!$C$11&gt;0,Contents!$C$11-$G27&lt;6,Contents!$C$11-$G27&gt;=0),
OFFSET(Contents!$B$79,0,(Contents!$C$11-$G27)),0))</f>
        <v/>
      </c>
      <c r="I27" s="753" t="n">
        <f aca="false">IF(AND(Contents!$C$13="Sequential", G27&gt;0, G27=Contents!$C$11, Contents!$C$12&gt;1, Contents!$C$12&gt;A27), J27,
IF(AND(G27&gt;0,G27&lt;Contents!$C$11), J27,0))</f>
        <v>0</v>
      </c>
      <c r="J27" s="754"/>
      <c r="K27" s="787" t="n">
        <f aca="true">(IF(AND(Contents!$C$11&gt;0,Contents!$C$11-$G27&lt;9,Contents!$C$11-$G27&gt;=0),
ROUND(OFFSET(Contents!$B$73,0,(Contents!$C$11-$G27)-1)*J27,2),
IF(AND(Contents!$C$11&gt;0,J27&gt;0),J27,0)))</f>
        <v>0</v>
      </c>
      <c r="L27" s="753" t="n">
        <f aca="false">IF(H27="",0,ROUND(H27*J27*IF(Contents!$C$12=4,1,0),2))</f>
        <v>0</v>
      </c>
      <c r="M27" s="755" t="n">
        <f aca="false">IF(H27="",0,K27+L27)</f>
        <v>0</v>
      </c>
      <c r="N27" s="650"/>
      <c r="O27" s="69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A28" s="742"/>
      <c r="B28" s="69"/>
      <c r="C28" s="650"/>
      <c r="D28" s="1291"/>
      <c r="E28" s="751"/>
      <c r="F28" s="685"/>
      <c r="G28" s="685"/>
      <c r="H28" s="786" t="str">
        <f aca="true">IF(G28=0,"",
IF(AND(Contents!$C$11&gt;0,Contents!$C$11-$G28&lt;6,Contents!$C$11-$G28&gt;=0),
OFFSET(Contents!$B$79,0,(Contents!$C$11-$G28)),0))</f>
        <v/>
      </c>
      <c r="I28" s="753" t="n">
        <f aca="false">IF(AND(Contents!$C$13="Sequential", G28&gt;0, G28=Contents!$C$11, Contents!$C$12&gt;1, Contents!$C$12&gt;A28), J28,
IF(AND(G28&gt;0,G28&lt;Contents!$C$11), J28,0))</f>
        <v>0</v>
      </c>
      <c r="J28" s="754"/>
      <c r="K28" s="787" t="n">
        <f aca="true">(IF(AND(Contents!$C$11&gt;0,Contents!$C$11-$G28&lt;9,Contents!$C$11-$G28&gt;=0),
ROUND(OFFSET(Contents!$B$73,0,(Contents!$C$11-$G28)-1)*J28,2),
IF(AND(Contents!$C$11&gt;0,J28&gt;0),J28,0)))</f>
        <v>0</v>
      </c>
      <c r="L28" s="753" t="n">
        <f aca="false">IF(H28="",0,ROUND(H28*J28*IF(Contents!$C$12=4,1,0),2))</f>
        <v>0</v>
      </c>
      <c r="M28" s="755" t="n">
        <f aca="false">IF(H28="",0,K28+L28)</f>
        <v>0</v>
      </c>
      <c r="N28" s="650"/>
      <c r="O28" s="69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A29" s="742"/>
      <c r="B29" s="69"/>
      <c r="C29" s="650"/>
      <c r="D29" s="1291"/>
      <c r="E29" s="751"/>
      <c r="F29" s="685"/>
      <c r="G29" s="685"/>
      <c r="H29" s="786" t="str">
        <f aca="true">IF(G29=0,"",
IF(AND(Contents!$C$11&gt;0,Contents!$C$11-$G29&lt;6,Contents!$C$11-$G29&gt;=0),
OFFSET(Contents!$B$79,0,(Contents!$C$11-$G29)),0))</f>
        <v/>
      </c>
      <c r="I29" s="753" t="n">
        <f aca="false">IF(AND(Contents!$C$13="Sequential", G29&gt;0, G29=Contents!$C$11, Contents!$C$12&gt;1, Contents!$C$12&gt;A29), J29,
IF(AND(G29&gt;0,G29&lt;Contents!$C$11), J29,0))</f>
        <v>0</v>
      </c>
      <c r="J29" s="754"/>
      <c r="K29" s="787" t="n">
        <f aca="true">(IF(AND(Contents!$C$11&gt;0,Contents!$C$11-$G29&lt;9,Contents!$C$11-$G29&gt;=0),
ROUND(OFFSET(Contents!$B$73,0,(Contents!$C$11-$G29)-1)*J29,2),
IF(AND(Contents!$C$11&gt;0,J29&gt;0),J29,0)))</f>
        <v>0</v>
      </c>
      <c r="L29" s="753" t="n">
        <f aca="false">IF(H29="",0,ROUND(H29*J29*IF(Contents!$C$12=4,1,0),2))</f>
        <v>0</v>
      </c>
      <c r="M29" s="755" t="n">
        <f aca="false">IF(H29="",0,K29+L29)</f>
        <v>0</v>
      </c>
      <c r="N29" s="650"/>
      <c r="O29" s="69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4.25" hidden="false" customHeight="false" outlineLevel="0" collapsed="false">
      <c r="A30" s="742"/>
      <c r="B30" s="69"/>
      <c r="C30" s="650"/>
      <c r="D30" s="1291"/>
      <c r="E30" s="751"/>
      <c r="F30" s="685"/>
      <c r="G30" s="685"/>
      <c r="H30" s="786" t="str">
        <f aca="true">IF(G30=0,"",
IF(AND(Contents!$C$11&gt;0,Contents!$C$11-$G30&lt;6,Contents!$C$11-$G30&gt;=0),
OFFSET(Contents!$B$79,0,(Contents!$C$11-$G30)),0))</f>
        <v/>
      </c>
      <c r="I30" s="753" t="n">
        <f aca="false">IF(AND(Contents!$C$13="Sequential", G30&gt;0, G30=Contents!$C$11, Contents!$C$12&gt;1, Contents!$C$12&gt;A30), J30,
IF(AND(G30&gt;0,G30&lt;Contents!$C$11), J30,0))</f>
        <v>0</v>
      </c>
      <c r="J30" s="754"/>
      <c r="K30" s="787" t="n">
        <f aca="true">(IF(AND(Contents!$C$11&gt;0,Contents!$C$11-$G30&lt;9,Contents!$C$11-$G30&gt;=0),
ROUND(OFFSET(Contents!$B$73,0,(Contents!$C$11-$G30)-1)*J30,2),
IF(AND(Contents!$C$11&gt;0,J30&gt;0),J30,0)))</f>
        <v>0</v>
      </c>
      <c r="L30" s="753" t="n">
        <f aca="false">IF(H30="",0,ROUND(H30*J30*IF(Contents!$C$12=4,1,0),2))</f>
        <v>0</v>
      </c>
      <c r="M30" s="755" t="n">
        <f aca="false">IF(H30="",0,K30+L30)</f>
        <v>0</v>
      </c>
      <c r="N30" s="650"/>
      <c r="O30" s="69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14.25" hidden="false" customHeight="false" outlineLevel="0" collapsed="false">
      <c r="A31" s="742"/>
      <c r="B31" s="69"/>
      <c r="C31" s="650"/>
      <c r="D31" s="1291"/>
      <c r="E31" s="751"/>
      <c r="F31" s="685"/>
      <c r="G31" s="685"/>
      <c r="H31" s="786" t="str">
        <f aca="true">IF(G31=0,"",
IF(AND(Contents!$C$11&gt;0,Contents!$C$11-$G31&lt;6,Contents!$C$11-$G31&gt;=0),
OFFSET(Contents!$B$79,0,(Contents!$C$11-$G31)),0))</f>
        <v/>
      </c>
      <c r="I31" s="753" t="n">
        <f aca="false">IF(AND(Contents!$C$13="Sequential", G31&gt;0, G31=Contents!$C$11, Contents!$C$12&gt;1, Contents!$C$12&gt;A31), J31,
IF(AND(G31&gt;0,G31&lt;Contents!$C$11), J31,0))</f>
        <v>0</v>
      </c>
      <c r="J31" s="754"/>
      <c r="K31" s="787" t="n">
        <f aca="true">(IF(AND(Contents!$C$11&gt;0,Contents!$C$11-$G31&lt;9,Contents!$C$11-$G31&gt;=0),
ROUND(OFFSET(Contents!$B$73,0,(Contents!$C$11-$G31)-1)*J31,2),
IF(AND(Contents!$C$11&gt;0,J31&gt;0),J31,0)))</f>
        <v>0</v>
      </c>
      <c r="L31" s="753" t="n">
        <f aca="false">IF(H31="",0,ROUND(H31*J31*IF(Contents!$C$12=4,1,0),2))</f>
        <v>0</v>
      </c>
      <c r="M31" s="755" t="n">
        <f aca="false">IF(H31="",0,K31+L31)</f>
        <v>0</v>
      </c>
      <c r="N31" s="650"/>
      <c r="O31" s="69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A32" s="742"/>
      <c r="B32" s="69"/>
      <c r="C32" s="650"/>
      <c r="D32" s="1291"/>
      <c r="E32" s="751"/>
      <c r="F32" s="685"/>
      <c r="G32" s="685"/>
      <c r="H32" s="786" t="str">
        <f aca="true">IF(G32=0,"",
IF(AND(Contents!$C$11&gt;0,Contents!$C$11-$G32&lt;6,Contents!$C$11-$G32&gt;=0),
OFFSET(Contents!$B$79,0,(Contents!$C$11-$G32)),0))</f>
        <v/>
      </c>
      <c r="I32" s="753" t="n">
        <f aca="false">IF(AND(Contents!$C$13="Sequential", G32&gt;0, G32=Contents!$C$11, Contents!$C$12&gt;1, Contents!$C$12&gt;A32), J32,
IF(AND(G32&gt;0,G32&lt;Contents!$C$11), J32,0))</f>
        <v>0</v>
      </c>
      <c r="J32" s="754"/>
      <c r="K32" s="787" t="n">
        <f aca="true">(IF(AND(Contents!$C$11&gt;0,Contents!$C$11-$G32&lt;9,Contents!$C$11-$G32&gt;=0),
ROUND(OFFSET(Contents!$B$73,0,(Contents!$C$11-$G32)-1)*J32,2),
IF(AND(Contents!$C$11&gt;0,J32&gt;0),J32,0)))</f>
        <v>0</v>
      </c>
      <c r="L32" s="753" t="n">
        <f aca="false">IF(H32="",0,ROUND(H32*J32*IF(Contents!$C$12=4,1,0),2))</f>
        <v>0</v>
      </c>
      <c r="M32" s="755" t="n">
        <f aca="false">IF(H32="",0,K32+L32)</f>
        <v>0</v>
      </c>
      <c r="N32" s="650"/>
      <c r="O32" s="69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A33" s="742"/>
      <c r="B33" s="69"/>
      <c r="C33" s="650"/>
      <c r="D33" s="1291"/>
      <c r="E33" s="751"/>
      <c r="F33" s="685"/>
      <c r="G33" s="685"/>
      <c r="H33" s="786" t="str">
        <f aca="true">IF(G33=0,"",
IF(AND(Contents!$C$11&gt;0,Contents!$C$11-$G33&lt;6,Contents!$C$11-$G33&gt;=0),
OFFSET(Contents!$B$79,0,(Contents!$C$11-$G33)),0))</f>
        <v/>
      </c>
      <c r="I33" s="753" t="n">
        <f aca="false">IF(AND(Contents!$C$13="Sequential", G33&gt;0, G33=Contents!$C$11, Contents!$C$12&gt;1, Contents!$C$12&gt;A33), J33,
IF(AND(G33&gt;0,G33&lt;Contents!$C$11), J33,0))</f>
        <v>0</v>
      </c>
      <c r="J33" s="754"/>
      <c r="K33" s="787" t="n">
        <f aca="true">(IF(AND(Contents!$C$11&gt;0,Contents!$C$11-$G33&lt;9,Contents!$C$11-$G33&gt;=0),
ROUND(OFFSET(Contents!$B$73,0,(Contents!$C$11-$G33)-1)*J33,2),
IF(AND(Contents!$C$11&gt;0,J33&gt;0),J33,0)))</f>
        <v>0</v>
      </c>
      <c r="L33" s="753" t="n">
        <f aca="false">IF(H33="",0,ROUND(H33*J33*IF(Contents!$C$12=4,1,0),2))</f>
        <v>0</v>
      </c>
      <c r="M33" s="755" t="n">
        <f aca="false">IF(H33="",0,K33+L33)</f>
        <v>0</v>
      </c>
      <c r="N33" s="650"/>
      <c r="O33" s="69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A34" s="742"/>
      <c r="B34" s="69"/>
      <c r="C34" s="650"/>
      <c r="D34" s="1291"/>
      <c r="E34" s="751"/>
      <c r="F34" s="685"/>
      <c r="G34" s="685"/>
      <c r="H34" s="786" t="str">
        <f aca="true">IF(G34=0,"",
IF(AND(Contents!$C$11&gt;0,Contents!$C$11-$G34&lt;6,Contents!$C$11-$G34&gt;=0),
OFFSET(Contents!$B$79,0,(Contents!$C$11-$G34)),0))</f>
        <v/>
      </c>
      <c r="I34" s="753" t="n">
        <f aca="false">IF(AND(Contents!$C$13="Sequential", G34&gt;0, G34=Contents!$C$11, Contents!$C$12&gt;1, Contents!$C$12&gt;A34), J34,
IF(AND(G34&gt;0,G34&lt;Contents!$C$11), J34,0))</f>
        <v>0</v>
      </c>
      <c r="J34" s="754"/>
      <c r="K34" s="787" t="n">
        <f aca="true">(IF(AND(Contents!$C$11&gt;0,Contents!$C$11-$G34&lt;9,Contents!$C$11-$G34&gt;=0),
ROUND(OFFSET(Contents!$B$73,0,(Contents!$C$11-$G34)-1)*J34,2),
IF(AND(Contents!$C$11&gt;0,J34&gt;0),J34,0)))</f>
        <v>0</v>
      </c>
      <c r="L34" s="753" t="n">
        <f aca="false">IF(H34="",0,ROUND(H34*J34*IF(Contents!$C$12=4,1,0),2))</f>
        <v>0</v>
      </c>
      <c r="M34" s="755" t="n">
        <f aca="false">IF(H34="",0,K34+L34)</f>
        <v>0</v>
      </c>
      <c r="N34" s="650"/>
      <c r="O34" s="69"/>
      <c r="P34" s="79" t="s">
        <v>79</v>
      </c>
      <c r="Q34" s="78"/>
      <c r="R34" s="78"/>
      <c r="S34" s="78"/>
      <c r="T34" s="79" t="s">
        <v>87</v>
      </c>
    </row>
    <row r="35" customFormat="false" ht="14.25" hidden="false" customHeight="false" outlineLevel="0" collapsed="false">
      <c r="A35" s="742"/>
      <c r="B35" s="69"/>
      <c r="C35" s="650"/>
      <c r="D35" s="1291"/>
      <c r="E35" s="751"/>
      <c r="F35" s="685"/>
      <c r="G35" s="685"/>
      <c r="H35" s="786" t="str">
        <f aca="true">IF(G35=0,"",
IF(AND(Contents!$C$11&gt;0,Contents!$C$11-$G35&lt;6,Contents!$C$11-$G35&gt;=0),
OFFSET(Contents!$B$79,0,(Contents!$C$11-$G35)),0))</f>
        <v/>
      </c>
      <c r="I35" s="753" t="n">
        <f aca="false">IF(AND(Contents!$C$13="Sequential", G35&gt;0, G35=Contents!$C$11, Contents!$C$12&gt;1, Contents!$C$12&gt;A35), J35,
IF(AND(G35&gt;0,G35&lt;Contents!$C$11), J35,0))</f>
        <v>0</v>
      </c>
      <c r="J35" s="754"/>
      <c r="K35" s="787" t="n">
        <f aca="true">(IF(AND(Contents!$C$11&gt;0,Contents!$C$11-$G35&lt;9,Contents!$C$11-$G35&gt;=0),
ROUND(OFFSET(Contents!$B$73,0,(Contents!$C$11-$G35)-1)*J35,2),
IF(AND(Contents!$C$11&gt;0,J35&gt;0),J35,0)))</f>
        <v>0</v>
      </c>
      <c r="L35" s="753" t="n">
        <f aca="false">IF(H35="",0,ROUND(H35*J35*IF(Contents!$C$12=4,1,0),2))</f>
        <v>0</v>
      </c>
      <c r="M35" s="755" t="n">
        <f aca="false">IF(H35="",0,K35+L35)</f>
        <v>0</v>
      </c>
      <c r="N35" s="650"/>
      <c r="O35" s="69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A36" s="742"/>
      <c r="B36" s="69"/>
      <c r="C36" s="650"/>
      <c r="D36" s="1291"/>
      <c r="E36" s="751"/>
      <c r="F36" s="685"/>
      <c r="G36" s="685"/>
      <c r="H36" s="786" t="str">
        <f aca="true">IF(G36=0,"",
IF(AND(Contents!$C$11&gt;0,Contents!$C$11-$G36&lt;6,Contents!$C$11-$G36&gt;=0),
OFFSET(Contents!$B$79,0,(Contents!$C$11-$G36)),0))</f>
        <v/>
      </c>
      <c r="I36" s="753" t="n">
        <f aca="false">IF(AND(Contents!$C$13="Sequential", G36&gt;0, G36=Contents!$C$11, Contents!$C$12&gt;1, Contents!$C$12&gt;A36), J36,
IF(AND(G36&gt;0,G36&lt;Contents!$C$11), J36,0))</f>
        <v>0</v>
      </c>
      <c r="J36" s="754"/>
      <c r="K36" s="787" t="n">
        <f aca="true">(IF(AND(Contents!$C$11&gt;0,Contents!$C$11-$G36&lt;9,Contents!$C$11-$G36&gt;=0),
ROUND(OFFSET(Contents!$B$73,0,(Contents!$C$11-$G36)-1)*J36,2),
IF(AND(Contents!$C$11&gt;0,J36&gt;0),J36,0)))</f>
        <v>0</v>
      </c>
      <c r="L36" s="753" t="n">
        <f aca="false">IF(H36="",0,ROUND(H36*J36*IF(Contents!$C$12=4,1,0),2))</f>
        <v>0</v>
      </c>
      <c r="M36" s="755" t="n">
        <f aca="false">IF(H36="",0,K36+L36)</f>
        <v>0</v>
      </c>
      <c r="N36" s="650"/>
      <c r="O36" s="69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A37" s="742"/>
      <c r="B37" s="69"/>
      <c r="C37" s="650"/>
      <c r="D37" s="1291"/>
      <c r="E37" s="751"/>
      <c r="F37" s="685"/>
      <c r="G37" s="685"/>
      <c r="H37" s="786" t="str">
        <f aca="true">IF(G37=0,"",
IF(AND(Contents!$C$11&gt;0,Contents!$C$11-$G37&lt;6,Contents!$C$11-$G37&gt;=0),
OFFSET(Contents!$B$79,0,(Contents!$C$11-$G37)),0))</f>
        <v/>
      </c>
      <c r="I37" s="753" t="n">
        <f aca="false">IF(AND(Contents!$C$13="Sequential", G37&gt;0, G37=Contents!$C$11, Contents!$C$12&gt;1, Contents!$C$12&gt;A37), J37,
IF(AND(G37&gt;0,G37&lt;Contents!$C$11), J37,0))</f>
        <v>0</v>
      </c>
      <c r="J37" s="754"/>
      <c r="K37" s="787" t="n">
        <f aca="true">(IF(AND(Contents!$C$11&gt;0,Contents!$C$11-$G37&lt;9,Contents!$C$11-$G37&gt;=0),
ROUND(OFFSET(Contents!$B$73,0,(Contents!$C$11-$G37)-1)*J37,2),
IF(AND(Contents!$C$11&gt;0,J37&gt;0),J37,0)))</f>
        <v>0</v>
      </c>
      <c r="L37" s="753" t="n">
        <f aca="false">IF(H37="",0,ROUND(H37*J37*IF(Contents!$C$12=4,1,0),2))</f>
        <v>0</v>
      </c>
      <c r="M37" s="755" t="n">
        <f aca="false">IF(H37="",0,K37+L37)</f>
        <v>0</v>
      </c>
      <c r="N37" s="650"/>
      <c r="O37" s="69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A38" s="742"/>
      <c r="B38" s="69"/>
      <c r="C38" s="650"/>
      <c r="D38" s="1291"/>
      <c r="E38" s="751"/>
      <c r="F38" s="685"/>
      <c r="G38" s="685"/>
      <c r="H38" s="786" t="str">
        <f aca="true">IF(G38=0,"",
IF(AND(Contents!$C$11&gt;0,Contents!$C$11-$G38&lt;6,Contents!$C$11-$G38&gt;=0),
OFFSET(Contents!$B$79,0,(Contents!$C$11-$G38)),0))</f>
        <v/>
      </c>
      <c r="I38" s="753" t="n">
        <f aca="false">IF(AND(Contents!$C$13="Sequential", G38&gt;0, G38=Contents!$C$11, Contents!$C$12&gt;1, Contents!$C$12&gt;A38), J38,
IF(AND(G38&gt;0,G38&lt;Contents!$C$11), J38,0))</f>
        <v>0</v>
      </c>
      <c r="J38" s="754"/>
      <c r="K38" s="787" t="n">
        <f aca="true">(IF(AND(Contents!$C$11&gt;0,Contents!$C$11-$G38&lt;9,Contents!$C$11-$G38&gt;=0),
ROUND(OFFSET(Contents!$B$73,0,(Contents!$C$11-$G38)-1)*J38,2),
IF(AND(Contents!$C$11&gt;0,J38&gt;0),J38,0)))</f>
        <v>0</v>
      </c>
      <c r="L38" s="753" t="n">
        <f aca="false">IF(H38="",0,ROUND(H38*J38*IF(Contents!$C$12=4,1,0),2))</f>
        <v>0</v>
      </c>
      <c r="M38" s="755" t="n">
        <f aca="false">IF(H38="",0,K38+L38)</f>
        <v>0</v>
      </c>
      <c r="N38" s="650"/>
      <c r="O38" s="69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A39" s="742"/>
      <c r="B39" s="69"/>
      <c r="C39" s="650"/>
      <c r="D39" s="1291"/>
      <c r="E39" s="751"/>
      <c r="F39" s="685"/>
      <c r="G39" s="685"/>
      <c r="H39" s="786" t="str">
        <f aca="true">IF(G39=0,"",
IF(AND(Contents!$C$11&gt;0,Contents!$C$11-$G39&lt;6,Contents!$C$11-$G39&gt;=0),
OFFSET(Contents!$B$79,0,(Contents!$C$11-$G39)),0))</f>
        <v/>
      </c>
      <c r="I39" s="753" t="n">
        <f aca="false">IF(AND(Contents!$C$13="Sequential", G39&gt;0, G39=Contents!$C$11, Contents!$C$12&gt;1, Contents!$C$12&gt;A39), J39,
IF(AND(G39&gt;0,G39&lt;Contents!$C$11), J39,0))</f>
        <v>0</v>
      </c>
      <c r="J39" s="754"/>
      <c r="K39" s="787" t="n">
        <f aca="true">(IF(AND(Contents!$C$11&gt;0,Contents!$C$11-$G39&lt;9,Contents!$C$11-$G39&gt;=0),
ROUND(OFFSET(Contents!$B$73,0,(Contents!$C$11-$G39)-1)*J39,2),
IF(AND(Contents!$C$11&gt;0,J39&gt;0),J39,0)))</f>
        <v>0</v>
      </c>
      <c r="L39" s="753" t="n">
        <f aca="false">IF(H39="",0,ROUND(H39*J39*IF(Contents!$C$12=4,1,0),2))</f>
        <v>0</v>
      </c>
      <c r="M39" s="755" t="n">
        <f aca="false">IF(H39="",0,K39+L39)</f>
        <v>0</v>
      </c>
      <c r="N39" s="650"/>
      <c r="O39" s="69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A40" s="742"/>
      <c r="B40" s="69"/>
      <c r="C40" s="650"/>
      <c r="D40" s="1291"/>
      <c r="E40" s="751"/>
      <c r="F40" s="685"/>
      <c r="G40" s="685"/>
      <c r="H40" s="786" t="str">
        <f aca="true">IF(G40=0,"",
IF(AND(Contents!$C$11&gt;0,Contents!$C$11-$G40&lt;6,Contents!$C$11-$G40&gt;=0),
OFFSET(Contents!$B$79,0,(Contents!$C$11-$G40)),0))</f>
        <v/>
      </c>
      <c r="I40" s="753" t="n">
        <f aca="false">IF(AND(Contents!$C$13="Sequential", G40&gt;0, G40=Contents!$C$11, Contents!$C$12&gt;1, Contents!$C$12&gt;A40), J40,
IF(AND(G40&gt;0,G40&lt;Contents!$C$11), J40,0))</f>
        <v>0</v>
      </c>
      <c r="J40" s="754"/>
      <c r="K40" s="787" t="n">
        <f aca="true">(IF(AND(Contents!$C$11&gt;0,Contents!$C$11-$G40&lt;9,Contents!$C$11-$G40&gt;=0),
ROUND(OFFSET(Contents!$B$73,0,(Contents!$C$11-$G40)-1)*J40,2),
IF(AND(Contents!$C$11&gt;0,J40&gt;0),J40,0)))</f>
        <v>0</v>
      </c>
      <c r="L40" s="753" t="n">
        <f aca="false">IF(H40="",0,ROUND(H40*J40*IF(Contents!$C$12=4,1,0),2))</f>
        <v>0</v>
      </c>
      <c r="M40" s="755" t="n">
        <f aca="false">IF(H40="",0,K40+L40)</f>
        <v>0</v>
      </c>
      <c r="N40" s="650"/>
      <c r="O40" s="69"/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A41" s="742"/>
      <c r="B41" s="69"/>
      <c r="C41" s="650"/>
      <c r="D41" s="1291"/>
      <c r="E41" s="751"/>
      <c r="F41" s="685"/>
      <c r="G41" s="685"/>
      <c r="H41" s="786" t="str">
        <f aca="true">IF(G41=0,"",
IF(AND(Contents!$C$11&gt;0,Contents!$C$11-$G41&lt;6,Contents!$C$11-$G41&gt;=0),
OFFSET(Contents!$B$79,0,(Contents!$C$11-$G41)),0))</f>
        <v/>
      </c>
      <c r="I41" s="753" t="n">
        <f aca="false">IF(AND(Contents!$C$13="Sequential", G41&gt;0, G41=Contents!$C$11, Contents!$C$12&gt;1, Contents!$C$12&gt;A41), J41,
IF(AND(G41&gt;0,G41&lt;Contents!$C$11), J41,0))</f>
        <v>0</v>
      </c>
      <c r="J41" s="754"/>
      <c r="K41" s="787" t="n">
        <f aca="true">(IF(AND(Contents!$C$11&gt;0,Contents!$C$11-$G41&lt;9,Contents!$C$11-$G41&gt;=0),
ROUND(OFFSET(Contents!$B$73,0,(Contents!$C$11-$G41)-1)*J41,2),
IF(AND(Contents!$C$11&gt;0,J41&gt;0),J41,0)))</f>
        <v>0</v>
      </c>
      <c r="L41" s="753" t="n">
        <f aca="false">IF(H41="",0,ROUND(H41*J41*IF(Contents!$C$12=4,1,0),2))</f>
        <v>0</v>
      </c>
      <c r="M41" s="755" t="n">
        <f aca="false">IF(H41="",0,K41+L41)</f>
        <v>0</v>
      </c>
      <c r="N41" s="650"/>
      <c r="O41" s="69"/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A42" s="742"/>
      <c r="B42" s="69"/>
      <c r="C42" s="650"/>
      <c r="D42" s="1291"/>
      <c r="E42" s="751"/>
      <c r="F42" s="685"/>
      <c r="G42" s="685"/>
      <c r="H42" s="786" t="str">
        <f aca="true">IF(G42=0,"",
IF(AND(Contents!$C$11&gt;0,Contents!$C$11-$G42&lt;6,Contents!$C$11-$G42&gt;=0),
OFFSET(Contents!$B$79,0,(Contents!$C$11-$G42)),0))</f>
        <v/>
      </c>
      <c r="I42" s="753" t="n">
        <f aca="false">IF(AND(Contents!$C$13="Sequential", G42&gt;0, G42=Contents!$C$11, Contents!$C$12&gt;1, Contents!$C$12&gt;A42), J42,
IF(AND(G42&gt;0,G42&lt;Contents!$C$11), J42,0))</f>
        <v>0</v>
      </c>
      <c r="J42" s="754"/>
      <c r="K42" s="787" t="n">
        <f aca="true">(IF(AND(Contents!$C$11&gt;0,Contents!$C$11-$G42&lt;9,Contents!$C$11-$G42&gt;=0),
ROUND(OFFSET(Contents!$B$73,0,(Contents!$C$11-$G42)-1)*J42,2),
IF(AND(Contents!$C$11&gt;0,J42&gt;0),J42,0)))</f>
        <v>0</v>
      </c>
      <c r="L42" s="753" t="n">
        <f aca="false">IF(H42="",0,ROUND(H42*J42*IF(Contents!$C$12=4,1,0),2))</f>
        <v>0</v>
      </c>
      <c r="M42" s="755" t="n">
        <f aca="false">IF(H42="",0,K42+L42)</f>
        <v>0</v>
      </c>
      <c r="N42" s="650"/>
      <c r="O42" s="69"/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A43" s="742"/>
      <c r="B43" s="69"/>
      <c r="C43" s="650"/>
      <c r="D43" s="1291"/>
      <c r="E43" s="751"/>
      <c r="F43" s="685"/>
      <c r="G43" s="685"/>
      <c r="H43" s="786" t="str">
        <f aca="true">IF(G43=0,"",
IF(AND(Contents!$C$11&gt;0,Contents!$C$11-$G43&lt;6,Contents!$C$11-$G43&gt;=0),
OFFSET(Contents!$B$79,0,(Contents!$C$11-$G43)),0))</f>
        <v/>
      </c>
      <c r="I43" s="753" t="n">
        <f aca="false">IF(AND(Contents!$C$13="Sequential", G43&gt;0, G43=Contents!$C$11, Contents!$C$12&gt;1, Contents!$C$12&gt;A43), J43,
IF(AND(G43&gt;0,G43&lt;Contents!$C$11), J43,0))</f>
        <v>0</v>
      </c>
      <c r="J43" s="754"/>
      <c r="K43" s="787" t="n">
        <f aca="true">(IF(AND(Contents!$C$11&gt;0,Contents!$C$11-$G43&lt;9,Contents!$C$11-$G43&gt;=0),
ROUND(OFFSET(Contents!$B$73,0,(Contents!$C$11-$G43)-1)*J43,2),
IF(AND(Contents!$C$11&gt;0,J43&gt;0),J43,0)))</f>
        <v>0</v>
      </c>
      <c r="L43" s="753" t="n">
        <f aca="false">IF(H43="",0,ROUND(H43*J43*IF(Contents!$C$12=4,1,0),2))</f>
        <v>0</v>
      </c>
      <c r="M43" s="755" t="n">
        <f aca="false">IF(H43="",0,K43+L43)</f>
        <v>0</v>
      </c>
      <c r="N43" s="650"/>
      <c r="O43" s="762"/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A44" s="742"/>
      <c r="B44" s="69"/>
      <c r="C44" s="650"/>
      <c r="D44" s="1291"/>
      <c r="E44" s="751"/>
      <c r="F44" s="685"/>
      <c r="G44" s="685"/>
      <c r="H44" s="786" t="str">
        <f aca="true">IF(G44=0,"",
IF(AND(Contents!$C$11&gt;0,Contents!$C$11-$G44&lt;6,Contents!$C$11-$G44&gt;=0),
OFFSET(Contents!$B$79,0,(Contents!$C$11-$G44)),0))</f>
        <v/>
      </c>
      <c r="I44" s="753" t="n">
        <f aca="false">IF(AND(Contents!$C$13="Sequential", G44&gt;0, G44=Contents!$C$11, Contents!$C$12&gt;1, Contents!$C$12&gt;A44), J44,
IF(AND(G44&gt;0,G44&lt;Contents!$C$11), J44,0))</f>
        <v>0</v>
      </c>
      <c r="J44" s="754"/>
      <c r="K44" s="787" t="n">
        <f aca="true">(IF(AND(Contents!$C$11&gt;0,Contents!$C$11-$G44&lt;9,Contents!$C$11-$G44&gt;=0),
ROUND(OFFSET(Contents!$B$73,0,(Contents!$C$11-$G44)-1)*J44,2),
IF(AND(Contents!$C$11&gt;0,J44&gt;0),J44,0)))</f>
        <v>0</v>
      </c>
      <c r="L44" s="753" t="n">
        <f aca="false">IF(H44="",0,ROUND(H44*J44*IF(Contents!$C$12=4,1,0),2))</f>
        <v>0</v>
      </c>
      <c r="M44" s="755" t="n">
        <f aca="false">IF(H44="",0,K44+L44)</f>
        <v>0</v>
      </c>
      <c r="N44" s="650"/>
      <c r="O44" s="69"/>
      <c r="P44" s="78"/>
      <c r="Q44" s="78"/>
      <c r="R44" s="78"/>
      <c r="S44" s="78"/>
      <c r="T44" s="78"/>
    </row>
    <row r="45" customFormat="false" ht="14.25" hidden="false" customHeight="false" outlineLevel="0" collapsed="false">
      <c r="A45" s="742"/>
      <c r="B45" s="69"/>
      <c r="C45" s="650"/>
      <c r="D45" s="1291"/>
      <c r="E45" s="751"/>
      <c r="F45" s="685"/>
      <c r="G45" s="685"/>
      <c r="H45" s="786" t="str">
        <f aca="true">IF(G45=0,"",
IF(AND(Contents!$C$11&gt;0,Contents!$C$11-$G45&lt;6,Contents!$C$11-$G45&gt;=0),
OFFSET(Contents!$B$79,0,(Contents!$C$11-$G45)),0))</f>
        <v/>
      </c>
      <c r="I45" s="753" t="n">
        <f aca="false">IF(AND(Contents!$C$13="Sequential", G45&gt;0, G45=Contents!$C$11, Contents!$C$12&gt;1, Contents!$C$12&gt;A45), J45,
IF(AND(G45&gt;0,G45&lt;Contents!$C$11), J45,0))</f>
        <v>0</v>
      </c>
      <c r="J45" s="754"/>
      <c r="K45" s="787" t="n">
        <f aca="true">(IF(AND(Contents!$C$11&gt;0,Contents!$C$11-$G45&lt;9,Contents!$C$11-$G45&gt;=0),
ROUND(OFFSET(Contents!$B$73,0,(Contents!$C$11-$G45)-1)*J45,2),
IF(AND(Contents!$C$11&gt;0,J45&gt;0),J45,0)))</f>
        <v>0</v>
      </c>
      <c r="L45" s="753" t="n">
        <f aca="false">IF(H45="",0,ROUND(H45*J45*IF(Contents!$C$12=4,1,0),2))</f>
        <v>0</v>
      </c>
      <c r="M45" s="755" t="n">
        <f aca="false">IF(H45="",0,K45+L45)</f>
        <v>0</v>
      </c>
      <c r="N45" s="650"/>
      <c r="O45" s="69"/>
      <c r="P45" s="78"/>
      <c r="Q45" s="78"/>
      <c r="R45" s="78"/>
      <c r="S45" s="78"/>
      <c r="T45" s="78"/>
    </row>
    <row r="46" customFormat="false" ht="14.25" hidden="false" customHeight="false" outlineLevel="0" collapsed="false">
      <c r="A46" s="742"/>
      <c r="B46" s="69"/>
      <c r="C46" s="650"/>
      <c r="D46" s="1291"/>
      <c r="E46" s="751"/>
      <c r="F46" s="685"/>
      <c r="G46" s="685"/>
      <c r="H46" s="786" t="str">
        <f aca="true">IF(G46=0,"",
IF(AND(Contents!$C$11&gt;0,Contents!$C$11-$G46&lt;6,Contents!$C$11-$G46&gt;=0),
OFFSET(Contents!$B$79,0,(Contents!$C$11-$G46)),0))</f>
        <v/>
      </c>
      <c r="I46" s="753" t="n">
        <f aca="false">IF(AND(Contents!$C$13="Sequential", G46&gt;0, G46=Contents!$C$11, Contents!$C$12&gt;1, Contents!$C$12&gt;A46), J46,
IF(AND(G46&gt;0,G46&lt;Contents!$C$11), J46,0))</f>
        <v>0</v>
      </c>
      <c r="J46" s="754"/>
      <c r="K46" s="787" t="n">
        <f aca="true">(IF(AND(Contents!$C$11&gt;0,Contents!$C$11-$G46&lt;9,Contents!$C$11-$G46&gt;=0),
ROUND(OFFSET(Contents!$B$73,0,(Contents!$C$11-$G46)-1)*J46,2),
IF(AND(Contents!$C$11&gt;0,J46&gt;0),J46,0)))</f>
        <v>0</v>
      </c>
      <c r="L46" s="753" t="n">
        <f aca="false">IF(H46="",0,ROUND(H46*J46*IF(Contents!$C$12=4,1,0),2))</f>
        <v>0</v>
      </c>
      <c r="M46" s="755" t="n">
        <f aca="false">IF(H46="",0,K46+L46)</f>
        <v>0</v>
      </c>
      <c r="N46" s="650"/>
      <c r="O46" s="69"/>
      <c r="Q46" s="78"/>
      <c r="R46" s="78"/>
      <c r="S46" s="78"/>
      <c r="T46" s="78"/>
    </row>
    <row r="47" customFormat="false" ht="14.25" hidden="false" customHeight="false" outlineLevel="0" collapsed="false">
      <c r="A47" s="742"/>
      <c r="B47" s="69"/>
      <c r="C47" s="650"/>
      <c r="D47" s="1291"/>
      <c r="E47" s="751"/>
      <c r="F47" s="685"/>
      <c r="G47" s="685"/>
      <c r="H47" s="786" t="str">
        <f aca="true">IF(G47=0,"",
IF(AND(Contents!$C$11&gt;0,Contents!$C$11-$G47&lt;6,Contents!$C$11-$G47&gt;=0),
OFFSET(Contents!$B$79,0,(Contents!$C$11-$G47)),0))</f>
        <v/>
      </c>
      <c r="I47" s="753" t="n">
        <f aca="false">IF(AND(Contents!$C$13="Sequential", G47&gt;0, G47=Contents!$C$11, Contents!$C$12&gt;1, Contents!$C$12&gt;A47), J47,
IF(AND(G47&gt;0,G47&lt;Contents!$C$11), J47,0))</f>
        <v>0</v>
      </c>
      <c r="J47" s="754"/>
      <c r="K47" s="787" t="n">
        <f aca="true">(IF(AND(Contents!$C$11&gt;0,Contents!$C$11-$G47&lt;9,Contents!$C$11-$G47&gt;=0),
ROUND(OFFSET(Contents!$B$73,0,(Contents!$C$11-$G47)-1)*J47,2),
IF(AND(Contents!$C$11&gt;0,J47&gt;0),J47,0)))</f>
        <v>0</v>
      </c>
      <c r="L47" s="753" t="n">
        <f aca="false">IF(H47="",0,ROUND(H47*J47*IF(Contents!$C$12=4,1,0),2))</f>
        <v>0</v>
      </c>
      <c r="M47" s="755" t="n">
        <f aca="false">IF(H47="",0,K47+L47)</f>
        <v>0</v>
      </c>
      <c r="N47" s="650"/>
      <c r="O47" s="69"/>
      <c r="Q47" s="78"/>
      <c r="R47" s="78"/>
      <c r="S47" s="78"/>
      <c r="T47" s="78"/>
    </row>
    <row r="48" customFormat="false" ht="14.25" hidden="false" customHeight="false" outlineLevel="0" collapsed="false">
      <c r="A48" s="742"/>
      <c r="B48" s="69"/>
      <c r="C48" s="650"/>
      <c r="D48" s="1291"/>
      <c r="E48" s="751"/>
      <c r="F48" s="685"/>
      <c r="G48" s="685"/>
      <c r="H48" s="786" t="str">
        <f aca="true">IF(G48=0,"",
IF(AND(Contents!$C$11&gt;0,Contents!$C$11-$G48&lt;6,Contents!$C$11-$G48&gt;=0),
OFFSET(Contents!$B$79,0,(Contents!$C$11-$G48)),0))</f>
        <v/>
      </c>
      <c r="I48" s="753" t="n">
        <f aca="false">IF(AND(Contents!$C$13="Sequential", G48&gt;0, G48=Contents!$C$11, Contents!$C$12&gt;1, Contents!$C$12&gt;A48), J48,
IF(AND(G48&gt;0,G48&lt;Contents!$C$11), J48,0))</f>
        <v>0</v>
      </c>
      <c r="J48" s="754"/>
      <c r="K48" s="787" t="n">
        <f aca="true">(IF(AND(Contents!$C$11&gt;0,Contents!$C$11-$G48&lt;9,Contents!$C$11-$G48&gt;=0),
ROUND(OFFSET(Contents!$B$73,0,(Contents!$C$11-$G48)-1)*J48,2),
IF(AND(Contents!$C$11&gt;0,J48&gt;0),J48,0)))</f>
        <v>0</v>
      </c>
      <c r="L48" s="753" t="n">
        <f aca="false">IF(H48="",0,ROUND(H48*J48*IF(Contents!$C$12=4,1,0),2))</f>
        <v>0</v>
      </c>
      <c r="M48" s="755" t="n">
        <f aca="false">IF(H48="",0,K48+L48)</f>
        <v>0</v>
      </c>
      <c r="N48" s="650"/>
      <c r="O48" s="762"/>
      <c r="S48" s="78"/>
    </row>
    <row r="49" customFormat="false" ht="14.25" hidden="false" customHeight="false" outlineLevel="0" collapsed="false">
      <c r="A49" s="742"/>
      <c r="B49" s="69"/>
      <c r="C49" s="650"/>
      <c r="D49" s="1291"/>
      <c r="E49" s="751"/>
      <c r="F49" s="685"/>
      <c r="G49" s="685"/>
      <c r="H49" s="786" t="str">
        <f aca="true">IF(G49=0,"",
IF(AND(Contents!$C$11&gt;0,Contents!$C$11-$G49&lt;6,Contents!$C$11-$G49&gt;=0),
OFFSET(Contents!$B$79,0,(Contents!$C$11-$G49)),0))</f>
        <v/>
      </c>
      <c r="I49" s="753" t="n">
        <f aca="false">IF(AND(Contents!$C$13="Sequential", G49&gt;0, G49=Contents!$C$11, Contents!$C$12&gt;1, Contents!$C$12&gt;A49), J49,
IF(AND(G49&gt;0,G49&lt;Contents!$C$11), J49,0))</f>
        <v>0</v>
      </c>
      <c r="J49" s="754"/>
      <c r="K49" s="787" t="n">
        <f aca="true">(IF(AND(Contents!$C$11&gt;0,Contents!$C$11-$G49&lt;9,Contents!$C$11-$G49&gt;=0),
ROUND(OFFSET(Contents!$B$73,0,(Contents!$C$11-$G49)-1)*J49,2),
IF(AND(Contents!$C$11&gt;0,J49&gt;0),J49,0)))</f>
        <v>0</v>
      </c>
      <c r="L49" s="753" t="n">
        <f aca="false">IF(H49="",0,ROUND(H49*J49*IF(Contents!$C$12=4,1,0),2))</f>
        <v>0</v>
      </c>
      <c r="M49" s="755" t="n">
        <f aca="false">IF(H49="",0,K49+L49)</f>
        <v>0</v>
      </c>
      <c r="N49" s="650"/>
      <c r="O49" s="69"/>
      <c r="S49" s="78"/>
    </row>
    <row r="50" customFormat="false" ht="14.25" hidden="false" customHeight="false" outlineLevel="0" collapsed="false">
      <c r="A50" s="742"/>
      <c r="B50" s="69"/>
      <c r="C50" s="650"/>
      <c r="D50" s="1291"/>
      <c r="E50" s="751"/>
      <c r="F50" s="685"/>
      <c r="G50" s="685"/>
      <c r="H50" s="786" t="str">
        <f aca="true">IF(G50=0,"",
IF(AND(Contents!$C$11&gt;0,Contents!$C$11-$G50&lt;6,Contents!$C$11-$G50&gt;=0),
OFFSET(Contents!$B$79,0,(Contents!$C$11-$G50)),0))</f>
        <v/>
      </c>
      <c r="I50" s="753" t="n">
        <f aca="false">IF(AND(Contents!$C$13="Sequential", G50&gt;0, G50=Contents!$C$11, Contents!$C$12&gt;1, Contents!$C$12&gt;A50), J50,
IF(AND(G50&gt;0,G50&lt;Contents!$C$11), J50,0))</f>
        <v>0</v>
      </c>
      <c r="J50" s="754"/>
      <c r="K50" s="787" t="n">
        <f aca="true">(IF(AND(Contents!$C$11&gt;0,Contents!$C$11-$G50&lt;9,Contents!$C$11-$G50&gt;=0),
ROUND(OFFSET(Contents!$B$73,0,(Contents!$C$11-$G50)-1)*J50,2),
IF(AND(Contents!$C$11&gt;0,J50&gt;0),J50,0)))</f>
        <v>0</v>
      </c>
      <c r="L50" s="753" t="n">
        <f aca="false">IF(H50="",0,ROUND(H50*J50*IF(Contents!$C$12=4,1,0),2))</f>
        <v>0</v>
      </c>
      <c r="M50" s="755" t="n">
        <f aca="false">IF(H50="",0,K50+L50)</f>
        <v>0</v>
      </c>
      <c r="N50" s="650"/>
      <c r="O50" s="69"/>
    </row>
    <row r="51" customFormat="false" ht="14.25" hidden="false" customHeight="false" outlineLevel="0" collapsed="false">
      <c r="A51" s="742"/>
      <c r="B51" s="69"/>
      <c r="C51" s="650"/>
      <c r="D51" s="1291"/>
      <c r="E51" s="751"/>
      <c r="F51" s="685"/>
      <c r="G51" s="685"/>
      <c r="H51" s="786" t="str">
        <f aca="true">IF(G51=0,"",
IF(AND(Contents!$C$11&gt;0,Contents!$C$11-$G51&lt;6,Contents!$C$11-$G51&gt;=0),
OFFSET(Contents!$B$79,0,(Contents!$C$11-$G51)),0))</f>
        <v/>
      </c>
      <c r="I51" s="753" t="n">
        <f aca="false">IF(AND(Contents!$C$13="Sequential", G51&gt;0, G51=Contents!$C$11, Contents!$C$12&gt;1, Contents!$C$12&gt;A51), J51,
IF(AND(G51&gt;0,G51&lt;Contents!$C$11), J51,0))</f>
        <v>0</v>
      </c>
      <c r="J51" s="754"/>
      <c r="K51" s="787" t="n">
        <f aca="true">(IF(AND(Contents!$C$11&gt;0,Contents!$C$11-$G51&lt;9,Contents!$C$11-$G51&gt;=0),
ROUND(OFFSET(Contents!$B$73,0,(Contents!$C$11-$G51)-1)*J51,2),
IF(AND(Contents!$C$11&gt;0,J51&gt;0),J51,0)))</f>
        <v>0</v>
      </c>
      <c r="L51" s="753" t="n">
        <f aca="false">IF(H51="",0,ROUND(H51*J51*IF(Contents!$C$12=4,1,0),2))</f>
        <v>0</v>
      </c>
      <c r="M51" s="755" t="n">
        <f aca="false">IF(H51="",0,K51+L51)</f>
        <v>0</v>
      </c>
      <c r="N51" s="650"/>
      <c r="O51" s="69"/>
    </row>
    <row r="52" customFormat="false" ht="14.25" hidden="false" customHeight="false" outlineLevel="0" collapsed="false">
      <c r="A52" s="742"/>
      <c r="B52" s="762"/>
      <c r="C52" s="650"/>
      <c r="D52" s="1291"/>
      <c r="E52" s="751"/>
      <c r="F52" s="685"/>
      <c r="G52" s="685"/>
      <c r="H52" s="786" t="str">
        <f aca="true">IF(G52=0,"",
IF(AND(Contents!$C$11&gt;0,Contents!$C$11-$G52&lt;6,Contents!$C$11-$G52&gt;=0),
OFFSET(Contents!$B$79,0,(Contents!$C$11-$G52)),0))</f>
        <v/>
      </c>
      <c r="I52" s="753" t="n">
        <f aca="false">IF(AND(Contents!$C$13="Sequential", G52&gt;0, G52=Contents!$C$11, Contents!$C$12&gt;1, Contents!$C$12&gt;A52), J52,
IF(AND(G52&gt;0,G52&lt;Contents!$C$11), J52,0))</f>
        <v>0</v>
      </c>
      <c r="J52" s="754"/>
      <c r="K52" s="787" t="n">
        <f aca="true">(IF(AND(Contents!$C$11&gt;0,Contents!$C$11-$G52&lt;9,Contents!$C$11-$G52&gt;=0),
ROUND(OFFSET(Contents!$B$73,0,(Contents!$C$11-$G52)-1)*J52,2),
IF(AND(Contents!$C$11&gt;0,J52&gt;0),J52,0)))</f>
        <v>0</v>
      </c>
      <c r="L52" s="753" t="n">
        <f aca="false">IF(H52="",0,ROUND(H52*J52*IF(Contents!$C$12=4,1,0),2))</f>
        <v>0</v>
      </c>
      <c r="M52" s="755" t="n">
        <f aca="false">IF(H52="",0,K52+L52)</f>
        <v>0</v>
      </c>
      <c r="N52" s="650"/>
      <c r="O52" s="800"/>
    </row>
    <row r="53" customFormat="false" ht="14.25" hidden="false" customHeight="false" outlineLevel="0" collapsed="false">
      <c r="A53" s="756"/>
      <c r="B53" s="69"/>
      <c r="C53" s="650"/>
      <c r="D53" s="1291"/>
      <c r="E53" s="1278"/>
      <c r="F53" s="1279"/>
      <c r="G53" s="1279"/>
      <c r="H53" s="1292" t="str">
        <f aca="true">IF(G53=0,"",
IF(AND(Contents!$C$11&gt;0,Contents!$C$11-$G53&lt;6,Contents!$C$11-$G53&gt;=0),
OFFSET(Contents!$B$79,0,(Contents!$C$11-$G53)),0))</f>
        <v/>
      </c>
      <c r="I53" s="1280" t="n">
        <f aca="false">IF(AND(Contents!$C$13="Sequential", G53&gt;0, G53=Contents!$C$11, Contents!$C$12&gt;1, Contents!$C$12&gt;A53), J53,
IF(AND(G53&gt;0,G53&lt;Contents!$C$11), J53,0))</f>
        <v>0</v>
      </c>
      <c r="J53" s="1281"/>
      <c r="K53" s="790" t="n">
        <f aca="true">(IF(AND(Contents!$C$11&gt;0,Contents!$C$11-$G53&lt;9,Contents!$C$11-$G53&gt;=0),
ROUND(OFFSET(Contents!$B$73,0,(Contents!$C$11-$G53)-1)*J53,2),
IF(AND(Contents!$C$11&gt;0,J53&gt;0),J53,0)))</f>
        <v>0</v>
      </c>
      <c r="L53" s="1280" t="n">
        <f aca="false">IF(H53="",0,ROUND(H53*J53*IF(Contents!$C$12=4,1,0),2))</f>
        <v>0</v>
      </c>
      <c r="M53" s="1282" t="n">
        <f aca="false">IF(H53="",0,K53+L53)</f>
        <v>0</v>
      </c>
      <c r="N53" s="650"/>
      <c r="O53" s="69"/>
    </row>
    <row r="54" customFormat="false" ht="14.25" hidden="false" customHeight="false" outlineLevel="0" collapsed="false">
      <c r="A54" s="69"/>
      <c r="B54" s="69"/>
      <c r="C54" s="650"/>
      <c r="D54" s="801"/>
      <c r="E54" s="1283"/>
      <c r="F54" s="1284" t="s">
        <v>572</v>
      </c>
      <c r="G54" s="1284"/>
      <c r="H54" s="1284"/>
      <c r="I54" s="1285" t="n">
        <f aca="false">SUM(I14:I53)</f>
        <v>0</v>
      </c>
      <c r="J54" s="1285" t="n">
        <f aca="false">SUM(J14:J53)</f>
        <v>0</v>
      </c>
      <c r="K54" s="1285" t="n">
        <f aca="false">SUM(K14:K53)</f>
        <v>0</v>
      </c>
      <c r="L54" s="1285" t="n">
        <f aca="false">SUM(L14:L53)</f>
        <v>0</v>
      </c>
      <c r="M54" s="1286" t="n">
        <f aca="false">SUM(M14:M53)</f>
        <v>0</v>
      </c>
      <c r="N54" s="650"/>
      <c r="O54" s="69"/>
    </row>
    <row r="55" customFormat="false" ht="14.25" hidden="false" customHeight="false" outlineLevel="0" collapsed="false">
      <c r="A55" s="69"/>
      <c r="B55" s="69"/>
      <c r="C55" s="807"/>
      <c r="D55" s="808" t="s">
        <v>534</v>
      </c>
      <c r="E55" s="808"/>
      <c r="F55" s="808"/>
      <c r="G55" s="808"/>
      <c r="H55" s="808"/>
      <c r="I55" s="808"/>
      <c r="J55" s="808"/>
      <c r="K55" s="808"/>
      <c r="L55" s="808"/>
      <c r="M55" s="808"/>
      <c r="N55" s="807"/>
      <c r="O55" s="69"/>
    </row>
    <row r="56" customFormat="false" ht="14.25" hidden="false" customHeight="false" outlineLevel="0" collapsed="false">
      <c r="A56" s="800"/>
      <c r="B56" s="69"/>
      <c r="C56" s="650"/>
      <c r="D56" s="809" t="s">
        <v>921</v>
      </c>
      <c r="E56" s="809"/>
      <c r="F56" s="809"/>
      <c r="G56" s="809"/>
      <c r="H56" s="809"/>
      <c r="I56" s="809"/>
      <c r="J56" s="809"/>
      <c r="K56" s="809"/>
      <c r="L56" s="809"/>
      <c r="M56" s="809"/>
      <c r="N56" s="650"/>
      <c r="O56" s="69"/>
    </row>
    <row r="57" customFormat="false" ht="14.25" hidden="false" customHeight="false" outlineLevel="0" collapsed="false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</row>
    <row r="58" customFormat="false" ht="14.25" hidden="false" customHeight="false" outlineLevel="0" collapsed="false">
      <c r="A58" s="238" t="s">
        <v>582</v>
      </c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</row>
    <row r="59" customFormat="false" ht="14.25" hidden="false" customHeight="false" outlineLevel="0" collapsed="false">
      <c r="A59" s="238" t="s">
        <v>551</v>
      </c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</row>
    <row r="60" customFormat="false" ht="14.25" hidden="false" customHeight="false" outlineLevel="0" collapsed="false">
      <c r="A60" s="238" t="s">
        <v>583</v>
      </c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</row>
    <row r="61" customFormat="false" ht="14.25" hidden="false" customHeight="false" outlineLevel="0" collapsed="false">
      <c r="A61" s="238" t="n">
        <v>1</v>
      </c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</row>
    <row r="62" customFormat="false" ht="14.25" hidden="false" customHeight="false" outlineLevel="0" collapsed="false">
      <c r="A62" s="238" t="n">
        <v>2</v>
      </c>
    </row>
    <row r="63" customFormat="false" ht="14.25" hidden="false" customHeight="false" outlineLevel="0" collapsed="false">
      <c r="A63" s="238" t="n">
        <v>3</v>
      </c>
    </row>
    <row r="64" customFormat="false" ht="14.25" hidden="false" customHeight="false" outlineLevel="0" collapsed="false">
      <c r="A64" s="238" t="n">
        <v>4</v>
      </c>
    </row>
  </sheetData>
  <sheetProtection algorithmName="SHA-512" hashValue="VfKm6cC3a77WJbV4x2Ckz4kCWhZb89mNukGNh6rv1vWrhvB5ZbblpdN0kBOJ9QUFLACELt2JIUSTPJhp/3VSBg==" saltValue="sg5FqBriVg6TIvSsjkqlRg==" spinCount="100000" sheet="true" objects="true" scenarios="true" selectLockedCells="true"/>
  <mergeCells count="9">
    <mergeCell ref="D3:M3"/>
    <mergeCell ref="D4:M4"/>
    <mergeCell ref="D6:M6"/>
    <mergeCell ref="D8:M8"/>
    <mergeCell ref="D9:M9"/>
    <mergeCell ref="D12:M12"/>
    <mergeCell ref="F54:H54"/>
    <mergeCell ref="D55:M55"/>
    <mergeCell ref="D56:M56"/>
  </mergeCells>
  <conditionalFormatting sqref="A14:A53">
    <cfRule type="expression" priority="2" aboveAverage="0" equalAverage="0" bottom="0" percent="0" rank="0" text="" dxfId="60">
      <formula>AND($P$53="Sequential",$P$54&gt;1,$P$55=$G14)</formula>
    </cfRule>
  </conditionalFormatting>
  <dataValidations count="5">
    <dataValidation allowBlank="true" error="Enter full year greater than 1960." errorStyle="stop" operator="greaterThan" showDropDown="false" showErrorMessage="true" showInputMessage="true" sqref="G14:G53" type="whole">
      <formula1>1960</formula1>
      <formula2>0</formula2>
    </dataValidation>
    <dataValidation allowBlank="true" error="Enter a dollar amount greater than zero." errorStyle="stop" operator="greaterThanOrEqual" showDropDown="false" showErrorMessage="true" showInputMessage="true" sqref="J14:J53" type="decimal">
      <formula1>0</formula1>
      <formula2>0</formula2>
    </dataValidation>
    <dataValidation allowBlank="true" error="Enter a whole quantity greater than zero." errorStyle="stop" operator="greaterThan" showDropDown="false" showErrorMessage="true" showInputMessage="true" sqref="F14:F53" type="whole">
      <formula1>0</formula1>
      <formula2>0</formula2>
    </dataValidation>
    <dataValidation allowBlank="true" errorStyle="stop" operator="between" showDropDown="false" showErrorMessage="true" showInputMessage="true" sqref="A14:A53" type="list">
      <formula1>$A$61:$A$65</formula1>
      <formula2>0</formula2>
    </dataValidation>
    <dataValidation allowBlank="true" errorStyle="stop" operator="between" showDropDown="false" showErrorMessage="true" showInputMessage="true" sqref="D14:D53" type="list">
      <formula1>$A$58:$A$60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5" activeCellId="0" sqref="P5"/>
    </sheetView>
  </sheetViews>
  <sheetFormatPr defaultColWidth="9.12890625" defaultRowHeight="14.25" customHeight="tru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60.62"/>
    <col collapsed="false" customWidth="true" hidden="false" outlineLevel="0" max="6" min="4" style="1" width="15.62"/>
    <col collapsed="false" customWidth="true" hidden="false" outlineLevel="0" max="8" min="7" style="1" width="3.62"/>
    <col collapsed="false" customWidth="true" hidden="true" outlineLevel="0" max="15" min="9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true" outlineLevel="0" collapsed="false">
      <c r="A1" s="810"/>
      <c r="B1" s="811"/>
      <c r="C1" s="811"/>
      <c r="D1" s="811"/>
      <c r="E1" s="811"/>
      <c r="F1" s="811"/>
      <c r="G1" s="811"/>
      <c r="H1" s="811"/>
      <c r="I1" s="811"/>
      <c r="J1" s="811"/>
      <c r="K1" s="811"/>
      <c r="L1" s="811"/>
      <c r="M1" s="811"/>
      <c r="N1" s="811"/>
      <c r="O1" s="811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true" outlineLevel="0" collapsed="false">
      <c r="A2" s="818"/>
      <c r="B2" s="820"/>
      <c r="C2" s="81" t="str">
        <f aca="false">Contents!B59</f>
        <v>Version: AS L 6 LARGE locked LOCAL</v>
      </c>
      <c r="D2" s="1293"/>
      <c r="E2" s="820"/>
      <c r="F2" s="820"/>
      <c r="G2" s="820"/>
      <c r="H2" s="818"/>
      <c r="I2" s="818"/>
      <c r="J2" s="818"/>
      <c r="K2" s="818"/>
      <c r="L2" s="818"/>
      <c r="M2" s="818"/>
      <c r="N2" s="818"/>
      <c r="O2" s="818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true" outlineLevel="0" collapsed="false">
      <c r="A3" s="814"/>
      <c r="B3" s="815"/>
      <c r="C3" s="816" t="str">
        <f aca="false">Contents!$E$3</f>
        <v>THE SOCIETY FOR CREATIVE ANACHRONISM, INC.</v>
      </c>
      <c r="D3" s="816"/>
      <c r="E3" s="816"/>
      <c r="F3" s="816"/>
      <c r="G3" s="815"/>
      <c r="H3" s="814"/>
      <c r="I3" s="814"/>
      <c r="J3" s="814"/>
      <c r="K3" s="814"/>
      <c r="L3" s="814"/>
      <c r="M3" s="814"/>
      <c r="N3" s="814"/>
      <c r="O3" s="81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true" outlineLevel="0" collapsed="false">
      <c r="A4" s="811"/>
      <c r="B4" s="815"/>
      <c r="C4" s="816" t="str">
        <f aca="false">Contents!$E$4</f>
        <v>FINANCIAL REPORT</v>
      </c>
      <c r="D4" s="816"/>
      <c r="E4" s="816"/>
      <c r="F4" s="816"/>
      <c r="G4" s="815"/>
      <c r="H4" s="811"/>
      <c r="I4" s="811"/>
      <c r="J4" s="811"/>
      <c r="K4" s="811"/>
      <c r="L4" s="811"/>
      <c r="M4" s="811"/>
      <c r="N4" s="811"/>
      <c r="O4" s="811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true" outlineLevel="0" collapsed="false">
      <c r="A5" s="811"/>
      <c r="B5" s="812"/>
      <c r="C5" s="817"/>
      <c r="D5" s="817"/>
      <c r="E5" s="812"/>
      <c r="F5" s="812"/>
      <c r="G5" s="812"/>
      <c r="H5" s="811"/>
      <c r="I5" s="811"/>
      <c r="J5" s="811"/>
      <c r="K5" s="811"/>
      <c r="L5" s="811"/>
      <c r="M5" s="811"/>
      <c r="N5" s="811"/>
      <c r="O5" s="811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true" outlineLevel="0" collapsed="false">
      <c r="A6" s="811"/>
      <c r="B6" s="812"/>
      <c r="C6" s="819" t="str">
        <f aca="false">Contents!B58</f>
        <v>Branch:   SCA, Inc.- Middle Kingdom                                               Period:  1/01/2025             to     12/31/2025            .</v>
      </c>
      <c r="D6" s="819"/>
      <c r="E6" s="819"/>
      <c r="F6" s="819"/>
      <c r="G6" s="812"/>
      <c r="H6" s="811"/>
      <c r="I6" s="811"/>
      <c r="J6" s="811"/>
      <c r="K6" s="811"/>
      <c r="L6" s="811"/>
      <c r="M6" s="811"/>
      <c r="N6" s="811"/>
      <c r="O6" s="811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true" outlineLevel="0" collapsed="false">
      <c r="A7" s="811"/>
      <c r="B7" s="812"/>
      <c r="C7" s="817"/>
      <c r="D7" s="817"/>
      <c r="E7" s="812"/>
      <c r="F7" s="812"/>
      <c r="G7" s="812"/>
      <c r="H7" s="811"/>
      <c r="I7" s="811"/>
      <c r="J7" s="811"/>
      <c r="K7" s="811"/>
      <c r="L7" s="811"/>
      <c r="M7" s="811"/>
      <c r="N7" s="811"/>
      <c r="O7" s="811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4.25" hidden="false" customHeight="true" outlineLevel="0" collapsed="false">
      <c r="A8" s="811"/>
      <c r="B8" s="812"/>
      <c r="C8" s="822" t="s">
        <v>922</v>
      </c>
      <c r="D8" s="822"/>
      <c r="E8" s="822"/>
      <c r="F8" s="822"/>
      <c r="G8" s="812"/>
      <c r="H8" s="811"/>
      <c r="I8" s="811"/>
      <c r="J8" s="811"/>
      <c r="K8" s="811"/>
      <c r="L8" s="811"/>
      <c r="M8" s="811"/>
      <c r="N8" s="811"/>
      <c r="O8" s="811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true" outlineLevel="0" collapsed="false">
      <c r="A9" s="811"/>
      <c r="B9" s="812"/>
      <c r="C9" s="826" t="s">
        <v>586</v>
      </c>
      <c r="D9" s="817"/>
      <c r="E9" s="812"/>
      <c r="F9" s="812"/>
      <c r="G9" s="812"/>
      <c r="H9" s="811"/>
      <c r="I9" s="811"/>
      <c r="J9" s="811"/>
      <c r="K9" s="811"/>
      <c r="L9" s="811"/>
      <c r="M9" s="811"/>
      <c r="N9" s="811"/>
      <c r="O9" s="811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4.25" hidden="false" customHeight="true" outlineLevel="0" collapsed="false">
      <c r="A10" s="811"/>
      <c r="B10" s="812"/>
      <c r="C10" s="1294" t="s">
        <v>587</v>
      </c>
      <c r="D10" s="829" t="s">
        <v>588</v>
      </c>
      <c r="E10" s="829" t="s">
        <v>589</v>
      </c>
      <c r="F10" s="830" t="s">
        <v>416</v>
      </c>
      <c r="G10" s="812"/>
      <c r="H10" s="811"/>
      <c r="I10" s="811"/>
      <c r="J10" s="811"/>
      <c r="K10" s="811"/>
      <c r="L10" s="811"/>
      <c r="M10" s="811"/>
      <c r="N10" s="811"/>
      <c r="O10" s="811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true" outlineLevel="0" collapsed="false">
      <c r="A11" s="811"/>
      <c r="B11" s="812"/>
      <c r="C11" s="831"/>
      <c r="D11" s="832"/>
      <c r="E11" s="1295"/>
      <c r="F11" s="1296"/>
      <c r="G11" s="812"/>
      <c r="H11" s="811"/>
      <c r="I11" s="811"/>
      <c r="J11" s="811"/>
      <c r="K11" s="811"/>
      <c r="L11" s="811"/>
      <c r="M11" s="811"/>
      <c r="N11" s="811"/>
      <c r="O11" s="811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true" outlineLevel="0" collapsed="false">
      <c r="A12" s="811"/>
      <c r="B12" s="812"/>
      <c r="C12" s="835"/>
      <c r="D12" s="836"/>
      <c r="E12" s="1297"/>
      <c r="F12" s="1298"/>
      <c r="G12" s="812"/>
      <c r="H12" s="811"/>
      <c r="I12" s="811"/>
      <c r="J12" s="811"/>
      <c r="K12" s="811"/>
      <c r="L12" s="811"/>
      <c r="M12" s="811"/>
      <c r="N12" s="811"/>
      <c r="O12" s="811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true" outlineLevel="0" collapsed="false">
      <c r="A13" s="811"/>
      <c r="B13" s="812"/>
      <c r="C13" s="835"/>
      <c r="D13" s="836"/>
      <c r="E13" s="1297"/>
      <c r="F13" s="1298"/>
      <c r="G13" s="812"/>
      <c r="H13" s="811"/>
      <c r="I13" s="811"/>
      <c r="J13" s="811"/>
      <c r="K13" s="811"/>
      <c r="L13" s="811"/>
      <c r="M13" s="811"/>
      <c r="N13" s="811"/>
      <c r="O13" s="811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true" outlineLevel="0" collapsed="false">
      <c r="A14" s="811"/>
      <c r="B14" s="812"/>
      <c r="C14" s="835"/>
      <c r="D14" s="839"/>
      <c r="E14" s="1297"/>
      <c r="F14" s="1298"/>
      <c r="G14" s="812"/>
      <c r="H14" s="811"/>
      <c r="I14" s="811"/>
      <c r="J14" s="811"/>
      <c r="K14" s="811"/>
      <c r="L14" s="811"/>
      <c r="M14" s="811"/>
      <c r="N14" s="811"/>
      <c r="O14" s="811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true" outlineLevel="0" collapsed="false">
      <c r="A15" s="811"/>
      <c r="B15" s="812"/>
      <c r="C15" s="835"/>
      <c r="D15" s="839"/>
      <c r="E15" s="1299"/>
      <c r="F15" s="1298"/>
      <c r="G15" s="812"/>
      <c r="H15" s="811"/>
      <c r="I15" s="811"/>
      <c r="J15" s="811"/>
      <c r="K15" s="811"/>
      <c r="L15" s="811"/>
      <c r="M15" s="811"/>
      <c r="N15" s="811"/>
      <c r="O15" s="811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true" outlineLevel="0" collapsed="false">
      <c r="A16" s="811"/>
      <c r="B16" s="812"/>
      <c r="C16" s="835"/>
      <c r="D16" s="836"/>
      <c r="E16" s="1299"/>
      <c r="F16" s="1298"/>
      <c r="G16" s="812"/>
      <c r="H16" s="811"/>
      <c r="I16" s="811"/>
      <c r="J16" s="811"/>
      <c r="K16" s="811"/>
      <c r="L16" s="811"/>
      <c r="M16" s="811"/>
      <c r="N16" s="811"/>
      <c r="O16" s="811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true" outlineLevel="0" collapsed="false">
      <c r="A17" s="811"/>
      <c r="B17" s="812"/>
      <c r="C17" s="835"/>
      <c r="D17" s="836"/>
      <c r="E17" s="1299"/>
      <c r="F17" s="1298"/>
      <c r="G17" s="812"/>
      <c r="H17" s="811"/>
      <c r="I17" s="811"/>
      <c r="J17" s="811"/>
      <c r="K17" s="811"/>
      <c r="L17" s="811"/>
      <c r="M17" s="811"/>
      <c r="N17" s="811"/>
      <c r="O17" s="811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true" outlineLevel="0" collapsed="false">
      <c r="A18" s="811"/>
      <c r="B18" s="812"/>
      <c r="C18" s="835"/>
      <c r="D18" s="836"/>
      <c r="E18" s="1299"/>
      <c r="F18" s="1298"/>
      <c r="G18" s="812"/>
      <c r="H18" s="811"/>
      <c r="I18" s="811"/>
      <c r="J18" s="811"/>
      <c r="K18" s="811"/>
      <c r="L18" s="811"/>
      <c r="M18" s="811"/>
      <c r="N18" s="811"/>
      <c r="O18" s="811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14.25" hidden="false" customHeight="true" outlineLevel="0" collapsed="false">
      <c r="A19" s="811"/>
      <c r="B19" s="812"/>
      <c r="C19" s="835"/>
      <c r="D19" s="836"/>
      <c r="E19" s="1299"/>
      <c r="F19" s="1298"/>
      <c r="G19" s="812"/>
      <c r="H19" s="811"/>
      <c r="I19" s="811"/>
      <c r="J19" s="811"/>
      <c r="K19" s="811"/>
      <c r="L19" s="811"/>
      <c r="M19" s="811"/>
      <c r="N19" s="811"/>
      <c r="O19" s="811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14.25" hidden="false" customHeight="true" outlineLevel="0" collapsed="false">
      <c r="A20" s="811"/>
      <c r="B20" s="812"/>
      <c r="C20" s="835"/>
      <c r="D20" s="836"/>
      <c r="E20" s="1299"/>
      <c r="F20" s="1298"/>
      <c r="G20" s="812"/>
      <c r="H20" s="811"/>
      <c r="I20" s="811"/>
      <c r="J20" s="811"/>
      <c r="K20" s="811"/>
      <c r="L20" s="811"/>
      <c r="M20" s="811"/>
      <c r="N20" s="811"/>
      <c r="O20" s="811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14.25" hidden="false" customHeight="true" outlineLevel="0" collapsed="false">
      <c r="A21" s="811"/>
      <c r="B21" s="812"/>
      <c r="C21" s="835"/>
      <c r="D21" s="839"/>
      <c r="E21" s="1299"/>
      <c r="F21" s="1298"/>
      <c r="G21" s="812"/>
      <c r="H21" s="811"/>
      <c r="I21" s="811"/>
      <c r="J21" s="811"/>
      <c r="K21" s="811"/>
      <c r="L21" s="811"/>
      <c r="M21" s="811"/>
      <c r="N21" s="811"/>
      <c r="O21" s="811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14.25" hidden="false" customHeight="true" outlineLevel="0" collapsed="false">
      <c r="A22" s="811"/>
      <c r="B22" s="812"/>
      <c r="C22" s="835"/>
      <c r="D22" s="836"/>
      <c r="E22" s="1299"/>
      <c r="F22" s="1298"/>
      <c r="G22" s="812"/>
      <c r="H22" s="811"/>
      <c r="I22" s="811"/>
      <c r="J22" s="811"/>
      <c r="K22" s="811"/>
      <c r="L22" s="811"/>
      <c r="M22" s="811"/>
      <c r="N22" s="811"/>
      <c r="O22" s="811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14.25" hidden="false" customHeight="true" outlineLevel="0" collapsed="false">
      <c r="A23" s="811"/>
      <c r="B23" s="812"/>
      <c r="C23" s="835"/>
      <c r="D23" s="836"/>
      <c r="E23" s="1299"/>
      <c r="F23" s="1298"/>
      <c r="G23" s="812"/>
      <c r="H23" s="811"/>
      <c r="I23" s="811"/>
      <c r="J23" s="811"/>
      <c r="K23" s="811"/>
      <c r="L23" s="811"/>
      <c r="M23" s="811"/>
      <c r="N23" s="811"/>
      <c r="O23" s="811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4.25" hidden="false" customHeight="true" outlineLevel="0" collapsed="false">
      <c r="A24" s="811"/>
      <c r="B24" s="812"/>
      <c r="C24" s="835"/>
      <c r="D24" s="836"/>
      <c r="E24" s="1299"/>
      <c r="F24" s="1298"/>
      <c r="G24" s="812"/>
      <c r="H24" s="811"/>
      <c r="I24" s="811"/>
      <c r="J24" s="811"/>
      <c r="K24" s="811"/>
      <c r="L24" s="811"/>
      <c r="M24" s="811"/>
      <c r="N24" s="811"/>
      <c r="O24" s="811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14.25" hidden="false" customHeight="true" outlineLevel="0" collapsed="false">
      <c r="A25" s="811"/>
      <c r="B25" s="812"/>
      <c r="C25" s="835"/>
      <c r="D25" s="836"/>
      <c r="E25" s="1299"/>
      <c r="F25" s="1298"/>
      <c r="G25" s="812"/>
      <c r="H25" s="811"/>
      <c r="I25" s="811"/>
      <c r="J25" s="811"/>
      <c r="K25" s="811"/>
      <c r="L25" s="811"/>
      <c r="M25" s="811"/>
      <c r="N25" s="811"/>
      <c r="O25" s="811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4.25" hidden="false" customHeight="true" outlineLevel="0" collapsed="false">
      <c r="A26" s="811"/>
      <c r="B26" s="812"/>
      <c r="C26" s="835"/>
      <c r="D26" s="836"/>
      <c r="E26" s="1299"/>
      <c r="F26" s="1298"/>
      <c r="G26" s="812"/>
      <c r="H26" s="811"/>
      <c r="I26" s="811"/>
      <c r="J26" s="811"/>
      <c r="K26" s="811"/>
      <c r="L26" s="811"/>
      <c r="M26" s="811"/>
      <c r="N26" s="811"/>
      <c r="O26" s="811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true" outlineLevel="0" collapsed="false">
      <c r="A27" s="811"/>
      <c r="B27" s="812"/>
      <c r="C27" s="835"/>
      <c r="D27" s="836"/>
      <c r="E27" s="1297"/>
      <c r="F27" s="1298"/>
      <c r="G27" s="812"/>
      <c r="H27" s="811"/>
      <c r="I27" s="811"/>
      <c r="J27" s="811"/>
      <c r="K27" s="811"/>
      <c r="L27" s="811"/>
      <c r="M27" s="811"/>
      <c r="N27" s="811"/>
      <c r="O27" s="811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true" outlineLevel="0" collapsed="false">
      <c r="A28" s="811"/>
      <c r="B28" s="812"/>
      <c r="C28" s="835"/>
      <c r="D28" s="836"/>
      <c r="E28" s="1297"/>
      <c r="F28" s="1298"/>
      <c r="G28" s="812"/>
      <c r="H28" s="811"/>
      <c r="I28" s="811"/>
      <c r="J28" s="811"/>
      <c r="K28" s="811"/>
      <c r="L28" s="811"/>
      <c r="M28" s="811"/>
      <c r="N28" s="811"/>
      <c r="O28" s="811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true" outlineLevel="0" collapsed="false">
      <c r="A29" s="811"/>
      <c r="B29" s="812"/>
      <c r="C29" s="835"/>
      <c r="D29" s="836"/>
      <c r="E29" s="1297"/>
      <c r="F29" s="1298"/>
      <c r="G29" s="812"/>
      <c r="H29" s="811"/>
      <c r="I29" s="811"/>
      <c r="J29" s="811"/>
      <c r="K29" s="811"/>
      <c r="L29" s="811"/>
      <c r="M29" s="811"/>
      <c r="N29" s="811"/>
      <c r="O29" s="811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4.25" hidden="false" customHeight="true" outlineLevel="0" collapsed="false">
      <c r="A30" s="811"/>
      <c r="B30" s="812"/>
      <c r="C30" s="835"/>
      <c r="D30" s="836"/>
      <c r="E30" s="1297"/>
      <c r="F30" s="1298"/>
      <c r="G30" s="812"/>
      <c r="H30" s="811"/>
      <c r="I30" s="811"/>
      <c r="J30" s="811"/>
      <c r="K30" s="811"/>
      <c r="L30" s="811"/>
      <c r="M30" s="811"/>
      <c r="N30" s="811"/>
      <c r="O30" s="811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14.25" hidden="false" customHeight="true" outlineLevel="0" collapsed="false">
      <c r="A31" s="811"/>
      <c r="B31" s="812"/>
      <c r="C31" s="835"/>
      <c r="D31" s="836"/>
      <c r="E31" s="1297"/>
      <c r="F31" s="1298"/>
      <c r="G31" s="812"/>
      <c r="H31" s="811"/>
      <c r="I31" s="811"/>
      <c r="J31" s="811"/>
      <c r="K31" s="811"/>
      <c r="L31" s="811"/>
      <c r="M31" s="811"/>
      <c r="N31" s="811"/>
      <c r="O31" s="811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true" outlineLevel="0" collapsed="false">
      <c r="A32" s="811"/>
      <c r="B32" s="812"/>
      <c r="C32" s="1300"/>
      <c r="D32" s="1301"/>
      <c r="E32" s="1302" t="s">
        <v>213</v>
      </c>
      <c r="F32" s="1303" t="n">
        <f aca="false">SUM(F11:F31)</f>
        <v>0</v>
      </c>
      <c r="G32" s="812"/>
      <c r="H32" s="811"/>
      <c r="I32" s="811"/>
      <c r="J32" s="811"/>
      <c r="K32" s="811"/>
      <c r="L32" s="811"/>
      <c r="M32" s="811"/>
      <c r="N32" s="811"/>
      <c r="O32" s="811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true" outlineLevel="0" collapsed="false">
      <c r="A33" s="811"/>
      <c r="B33" s="812"/>
      <c r="C33" s="812"/>
      <c r="D33" s="812"/>
      <c r="E33" s="845"/>
      <c r="F33" s="846"/>
      <c r="G33" s="812"/>
      <c r="H33" s="811"/>
      <c r="I33" s="811"/>
      <c r="J33" s="811"/>
      <c r="K33" s="811"/>
      <c r="L33" s="811"/>
      <c r="M33" s="811"/>
      <c r="N33" s="811"/>
      <c r="O33" s="811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true" outlineLevel="0" collapsed="false">
      <c r="A34" s="811"/>
      <c r="B34" s="812"/>
      <c r="C34" s="847" t="s">
        <v>629</v>
      </c>
      <c r="D34" s="812"/>
      <c r="E34" s="845"/>
      <c r="F34" s="846"/>
      <c r="G34" s="812"/>
      <c r="H34" s="811"/>
      <c r="I34" s="811"/>
      <c r="J34" s="811"/>
      <c r="K34" s="811"/>
      <c r="L34" s="811"/>
      <c r="M34" s="811"/>
      <c r="N34" s="811"/>
      <c r="O34" s="811"/>
      <c r="P34" s="79" t="s">
        <v>79</v>
      </c>
      <c r="Q34" s="78"/>
      <c r="R34" s="78"/>
      <c r="S34" s="78"/>
      <c r="T34" s="79" t="s">
        <v>87</v>
      </c>
    </row>
    <row r="35" customFormat="false" ht="14.25" hidden="false" customHeight="true" outlineLevel="0" collapsed="false">
      <c r="A35" s="811"/>
      <c r="B35" s="812"/>
      <c r="C35" s="848" t="s">
        <v>923</v>
      </c>
      <c r="D35" s="829" t="s">
        <v>588</v>
      </c>
      <c r="E35" s="829" t="s">
        <v>589</v>
      </c>
      <c r="F35" s="830" t="s">
        <v>416</v>
      </c>
      <c r="G35" s="812"/>
      <c r="H35" s="811"/>
      <c r="I35" s="811"/>
      <c r="J35" s="811"/>
      <c r="K35" s="811"/>
      <c r="L35" s="811"/>
      <c r="M35" s="811"/>
      <c r="N35" s="811"/>
      <c r="O35" s="811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true" outlineLevel="0" collapsed="false">
      <c r="A36" s="811"/>
      <c r="B36" s="812"/>
      <c r="C36" s="831"/>
      <c r="D36" s="832"/>
      <c r="E36" s="1295"/>
      <c r="F36" s="1296"/>
      <c r="G36" s="812"/>
      <c r="H36" s="811"/>
      <c r="I36" s="811"/>
      <c r="J36" s="811"/>
      <c r="K36" s="811"/>
      <c r="L36" s="811"/>
      <c r="M36" s="811"/>
      <c r="N36" s="811"/>
      <c r="O36" s="811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true" outlineLevel="0" collapsed="false">
      <c r="A37" s="811"/>
      <c r="B37" s="812"/>
      <c r="C37" s="835"/>
      <c r="D37" s="836"/>
      <c r="E37" s="1297"/>
      <c r="F37" s="1298"/>
      <c r="G37" s="812"/>
      <c r="H37" s="811"/>
      <c r="I37" s="811"/>
      <c r="J37" s="811"/>
      <c r="K37" s="811"/>
      <c r="L37" s="811"/>
      <c r="M37" s="811"/>
      <c r="N37" s="811"/>
      <c r="O37" s="811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true" outlineLevel="0" collapsed="false">
      <c r="A38" s="811"/>
      <c r="B38" s="812"/>
      <c r="C38" s="835"/>
      <c r="D38" s="836"/>
      <c r="E38" s="1297"/>
      <c r="F38" s="1298"/>
      <c r="G38" s="812"/>
      <c r="H38" s="811"/>
      <c r="I38" s="811"/>
      <c r="J38" s="811"/>
      <c r="K38" s="811"/>
      <c r="L38" s="811"/>
      <c r="M38" s="811"/>
      <c r="N38" s="811"/>
      <c r="O38" s="811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true" outlineLevel="0" collapsed="false">
      <c r="A39" s="811"/>
      <c r="B39" s="812"/>
      <c r="C39" s="835"/>
      <c r="D39" s="836"/>
      <c r="E39" s="1297"/>
      <c r="F39" s="1298"/>
      <c r="G39" s="812"/>
      <c r="H39" s="811"/>
      <c r="I39" s="811"/>
      <c r="J39" s="811"/>
      <c r="K39" s="811"/>
      <c r="L39" s="811"/>
      <c r="M39" s="811"/>
      <c r="N39" s="811"/>
      <c r="O39" s="811"/>
      <c r="P39" s="79" t="s">
        <v>87</v>
      </c>
      <c r="Q39" s="78"/>
      <c r="R39" s="78"/>
      <c r="S39" s="78"/>
      <c r="T39" s="79"/>
    </row>
    <row r="40" customFormat="false" ht="14.25" hidden="false" customHeight="true" outlineLevel="0" collapsed="false">
      <c r="A40" s="811"/>
      <c r="B40" s="812"/>
      <c r="C40" s="835"/>
      <c r="D40" s="836"/>
      <c r="E40" s="1297"/>
      <c r="F40" s="1298"/>
      <c r="G40" s="812"/>
      <c r="H40" s="811"/>
      <c r="I40" s="811"/>
      <c r="J40" s="811"/>
      <c r="K40" s="811"/>
      <c r="L40" s="811"/>
      <c r="M40" s="811"/>
      <c r="N40" s="811"/>
      <c r="O40" s="811"/>
      <c r="P40" s="79" t="s">
        <v>89</v>
      </c>
      <c r="Q40" s="78"/>
      <c r="R40" s="78"/>
      <c r="S40" s="78"/>
      <c r="T40" s="78"/>
    </row>
    <row r="41" customFormat="false" ht="14.25" hidden="false" customHeight="true" outlineLevel="0" collapsed="false">
      <c r="A41" s="811"/>
      <c r="B41" s="812"/>
      <c r="C41" s="835"/>
      <c r="D41" s="836"/>
      <c r="E41" s="1297"/>
      <c r="F41" s="1298"/>
      <c r="G41" s="812"/>
      <c r="H41" s="811"/>
      <c r="I41" s="811"/>
      <c r="J41" s="811"/>
      <c r="K41" s="811"/>
      <c r="L41" s="811"/>
      <c r="M41" s="811"/>
      <c r="N41" s="811"/>
      <c r="O41" s="811"/>
      <c r="P41" s="79" t="s">
        <v>90</v>
      </c>
      <c r="Q41" s="78"/>
      <c r="R41" s="78"/>
      <c r="S41" s="78"/>
      <c r="T41" s="117"/>
    </row>
    <row r="42" customFormat="false" ht="14.25" hidden="false" customHeight="true" outlineLevel="0" collapsed="false">
      <c r="A42" s="811"/>
      <c r="B42" s="812"/>
      <c r="C42" s="835"/>
      <c r="D42" s="836"/>
      <c r="E42" s="1297"/>
      <c r="F42" s="1298"/>
      <c r="G42" s="812"/>
      <c r="H42" s="811"/>
      <c r="I42" s="811"/>
      <c r="J42" s="811"/>
      <c r="K42" s="811"/>
      <c r="L42" s="811"/>
      <c r="M42" s="811"/>
      <c r="N42" s="811"/>
      <c r="O42" s="811"/>
      <c r="P42" s="79" t="s">
        <v>192</v>
      </c>
      <c r="Q42" s="78"/>
      <c r="R42" s="78"/>
      <c r="S42" s="78"/>
      <c r="T42" s="78"/>
    </row>
    <row r="43" customFormat="false" ht="14.25" hidden="false" customHeight="true" outlineLevel="0" collapsed="false">
      <c r="A43" s="811"/>
      <c r="B43" s="812"/>
      <c r="C43" s="835"/>
      <c r="D43" s="836"/>
      <c r="E43" s="1297"/>
      <c r="F43" s="1298"/>
      <c r="G43" s="812"/>
      <c r="H43" s="811"/>
      <c r="I43" s="811"/>
      <c r="J43" s="811"/>
      <c r="K43" s="811"/>
      <c r="L43" s="811"/>
      <c r="M43" s="811"/>
      <c r="N43" s="811"/>
      <c r="O43" s="811"/>
      <c r="P43" s="79" t="s">
        <v>91</v>
      </c>
      <c r="Q43" s="78"/>
      <c r="R43" s="78"/>
      <c r="S43" s="78"/>
      <c r="T43" s="78"/>
    </row>
    <row r="44" customFormat="false" ht="14.25" hidden="false" customHeight="true" outlineLevel="0" collapsed="false">
      <c r="A44" s="811"/>
      <c r="B44" s="812"/>
      <c r="C44" s="835"/>
      <c r="D44" s="836"/>
      <c r="E44" s="1297"/>
      <c r="F44" s="1298"/>
      <c r="G44" s="812"/>
      <c r="H44" s="811"/>
      <c r="I44" s="811"/>
      <c r="J44" s="811"/>
      <c r="K44" s="811"/>
      <c r="L44" s="811"/>
      <c r="M44" s="811"/>
      <c r="N44" s="811"/>
      <c r="O44" s="811"/>
      <c r="P44" s="78"/>
      <c r="Q44" s="78"/>
      <c r="R44" s="78"/>
      <c r="S44" s="78"/>
      <c r="T44" s="78"/>
    </row>
    <row r="45" customFormat="false" ht="14.25" hidden="false" customHeight="true" outlineLevel="0" collapsed="false">
      <c r="A45" s="811"/>
      <c r="B45" s="812"/>
      <c r="C45" s="835"/>
      <c r="D45" s="836"/>
      <c r="E45" s="1297"/>
      <c r="F45" s="1298"/>
      <c r="G45" s="812"/>
      <c r="H45" s="811"/>
      <c r="I45" s="811"/>
      <c r="J45" s="811"/>
      <c r="K45" s="811"/>
      <c r="L45" s="811"/>
      <c r="M45" s="811"/>
      <c r="N45" s="811"/>
      <c r="O45" s="811"/>
      <c r="P45" s="78"/>
      <c r="Q45" s="78"/>
      <c r="R45" s="78"/>
      <c r="S45" s="78"/>
      <c r="T45" s="78"/>
    </row>
    <row r="46" customFormat="false" ht="14.25" hidden="false" customHeight="true" outlineLevel="0" collapsed="false">
      <c r="A46" s="811"/>
      <c r="B46" s="812"/>
      <c r="C46" s="835"/>
      <c r="D46" s="836"/>
      <c r="E46" s="1297"/>
      <c r="F46" s="1298"/>
      <c r="G46" s="812"/>
      <c r="H46" s="811"/>
      <c r="I46" s="811"/>
      <c r="J46" s="811"/>
      <c r="K46" s="811"/>
      <c r="L46" s="811"/>
      <c r="M46" s="811"/>
      <c r="N46" s="811"/>
      <c r="O46" s="811"/>
      <c r="Q46" s="78"/>
      <c r="R46" s="78"/>
      <c r="S46" s="78"/>
      <c r="T46" s="78"/>
    </row>
    <row r="47" customFormat="false" ht="14.25" hidden="false" customHeight="true" outlineLevel="0" collapsed="false">
      <c r="A47" s="811"/>
      <c r="B47" s="812"/>
      <c r="C47" s="835"/>
      <c r="D47" s="836"/>
      <c r="E47" s="1297"/>
      <c r="F47" s="1298"/>
      <c r="G47" s="812"/>
      <c r="H47" s="811"/>
      <c r="I47" s="811"/>
      <c r="J47" s="811"/>
      <c r="K47" s="811"/>
      <c r="L47" s="811"/>
      <c r="M47" s="811"/>
      <c r="N47" s="811"/>
      <c r="O47" s="811"/>
      <c r="Q47" s="78"/>
      <c r="R47" s="78"/>
      <c r="S47" s="78"/>
      <c r="T47" s="78"/>
    </row>
    <row r="48" customFormat="false" ht="14.25" hidden="false" customHeight="true" outlineLevel="0" collapsed="false">
      <c r="A48" s="811"/>
      <c r="B48" s="812"/>
      <c r="C48" s="835"/>
      <c r="D48" s="836"/>
      <c r="E48" s="1297"/>
      <c r="F48" s="1298"/>
      <c r="G48" s="812"/>
      <c r="H48" s="811"/>
      <c r="I48" s="811"/>
      <c r="J48" s="811"/>
      <c r="K48" s="811"/>
      <c r="L48" s="811"/>
      <c r="M48" s="811"/>
      <c r="N48" s="811"/>
      <c r="O48" s="811"/>
      <c r="S48" s="78"/>
    </row>
    <row r="49" customFormat="false" ht="14.25" hidden="false" customHeight="true" outlineLevel="0" collapsed="false">
      <c r="A49" s="811"/>
      <c r="B49" s="812"/>
      <c r="C49" s="835"/>
      <c r="D49" s="836"/>
      <c r="E49" s="1297"/>
      <c r="F49" s="1298"/>
      <c r="G49" s="812"/>
      <c r="H49" s="811"/>
      <c r="I49" s="811"/>
      <c r="J49" s="811"/>
      <c r="K49" s="811"/>
      <c r="L49" s="811"/>
      <c r="M49" s="811"/>
      <c r="N49" s="811"/>
      <c r="O49" s="811"/>
      <c r="S49" s="78"/>
    </row>
    <row r="50" customFormat="false" ht="14.25" hidden="false" customHeight="true" outlineLevel="0" collapsed="false">
      <c r="A50" s="811"/>
      <c r="B50" s="812"/>
      <c r="C50" s="831"/>
      <c r="D50" s="836"/>
      <c r="E50" s="1297"/>
      <c r="F50" s="1298"/>
      <c r="G50" s="812"/>
      <c r="H50" s="811"/>
      <c r="I50" s="811"/>
      <c r="J50" s="811"/>
      <c r="K50" s="811"/>
      <c r="L50" s="811"/>
      <c r="M50" s="811"/>
      <c r="N50" s="811"/>
      <c r="O50" s="811"/>
    </row>
    <row r="51" customFormat="false" ht="14.25" hidden="false" customHeight="true" outlineLevel="0" collapsed="false">
      <c r="A51" s="811"/>
      <c r="B51" s="812"/>
      <c r="C51" s="835"/>
      <c r="D51" s="836"/>
      <c r="E51" s="1297"/>
      <c r="F51" s="1298"/>
      <c r="G51" s="812"/>
      <c r="H51" s="811"/>
      <c r="I51" s="811"/>
      <c r="J51" s="811"/>
      <c r="K51" s="811"/>
      <c r="L51" s="811"/>
      <c r="M51" s="811"/>
      <c r="N51" s="811"/>
      <c r="O51" s="811"/>
    </row>
    <row r="52" customFormat="false" ht="14.25" hidden="false" customHeight="true" outlineLevel="0" collapsed="false">
      <c r="A52" s="811"/>
      <c r="B52" s="812"/>
      <c r="C52" s="831"/>
      <c r="D52" s="836"/>
      <c r="E52" s="1297"/>
      <c r="F52" s="1298"/>
      <c r="G52" s="812"/>
      <c r="H52" s="811"/>
      <c r="I52" s="811"/>
      <c r="J52" s="811"/>
      <c r="K52" s="811"/>
      <c r="L52" s="811"/>
      <c r="M52" s="811"/>
      <c r="N52" s="811"/>
      <c r="O52" s="811"/>
    </row>
    <row r="53" customFormat="false" ht="14.25" hidden="false" customHeight="true" outlineLevel="0" collapsed="false">
      <c r="A53" s="811"/>
      <c r="B53" s="812"/>
      <c r="C53" s="835"/>
      <c r="D53" s="836"/>
      <c r="E53" s="1297"/>
      <c r="F53" s="1298"/>
      <c r="G53" s="812"/>
      <c r="H53" s="811"/>
      <c r="I53" s="811"/>
      <c r="J53" s="811"/>
      <c r="K53" s="811"/>
      <c r="L53" s="811"/>
      <c r="M53" s="811"/>
      <c r="N53" s="811"/>
      <c r="O53" s="811"/>
    </row>
    <row r="54" customFormat="false" ht="14.25" hidden="false" customHeight="true" outlineLevel="0" collapsed="false">
      <c r="A54" s="811"/>
      <c r="B54" s="812"/>
      <c r="C54" s="1300"/>
      <c r="D54" s="1301"/>
      <c r="E54" s="1302" t="s">
        <v>213</v>
      </c>
      <c r="F54" s="1303" t="n">
        <f aca="false">SUM(F36:F53)</f>
        <v>0</v>
      </c>
      <c r="G54" s="812"/>
      <c r="H54" s="811"/>
      <c r="I54" s="811"/>
      <c r="J54" s="811"/>
      <c r="K54" s="811"/>
      <c r="L54" s="811"/>
      <c r="M54" s="811"/>
      <c r="N54" s="811"/>
      <c r="O54" s="811"/>
    </row>
    <row r="55" customFormat="false" ht="14.25" hidden="false" customHeight="true" outlineLevel="0" collapsed="false">
      <c r="A55" s="811"/>
      <c r="B55" s="812"/>
      <c r="C55" s="850" t="s">
        <v>924</v>
      </c>
      <c r="D55" s="850"/>
      <c r="E55" s="850"/>
      <c r="F55" s="850"/>
      <c r="G55" s="812"/>
      <c r="H55" s="811"/>
      <c r="I55" s="811"/>
      <c r="J55" s="811"/>
      <c r="K55" s="811"/>
      <c r="L55" s="811"/>
      <c r="M55" s="811"/>
      <c r="N55" s="811"/>
      <c r="O55" s="811"/>
    </row>
    <row r="56" customFormat="false" ht="14.25" hidden="false" customHeight="true" outlineLevel="0" collapsed="false">
      <c r="A56" s="811"/>
      <c r="B56" s="811"/>
      <c r="C56" s="811"/>
      <c r="D56" s="811"/>
      <c r="E56" s="811"/>
      <c r="F56" s="811"/>
      <c r="G56" s="811"/>
      <c r="H56" s="811"/>
      <c r="I56" s="811"/>
      <c r="J56" s="811"/>
      <c r="K56" s="811"/>
      <c r="L56" s="811"/>
      <c r="M56" s="811"/>
      <c r="N56" s="811"/>
      <c r="O56" s="811"/>
    </row>
    <row r="57" customFormat="false" ht="14.25" hidden="false" customHeight="true" outlineLevel="0" collapsed="false">
      <c r="A57" s="811"/>
      <c r="B57" s="811"/>
      <c r="C57" s="811"/>
      <c r="D57" s="811"/>
      <c r="E57" s="811"/>
      <c r="F57" s="811"/>
      <c r="G57" s="811"/>
      <c r="H57" s="811"/>
      <c r="I57" s="811"/>
      <c r="J57" s="811"/>
      <c r="K57" s="811"/>
      <c r="L57" s="811"/>
      <c r="M57" s="811"/>
      <c r="N57" s="811"/>
      <c r="O57" s="811"/>
    </row>
    <row r="58" customFormat="false" ht="14.25" hidden="false" customHeight="true" outlineLevel="0" collapsed="false">
      <c r="A58" s="811"/>
      <c r="B58" s="811"/>
      <c r="C58" s="811"/>
      <c r="D58" s="811"/>
      <c r="E58" s="811"/>
      <c r="F58" s="811"/>
      <c r="G58" s="811"/>
      <c r="H58" s="811"/>
      <c r="I58" s="811"/>
      <c r="J58" s="811"/>
      <c r="K58" s="811"/>
      <c r="L58" s="811"/>
      <c r="M58" s="811"/>
      <c r="N58" s="811"/>
      <c r="O58" s="811"/>
    </row>
    <row r="59" customFormat="false" ht="14.25" hidden="false" customHeight="true" outlineLevel="0" collapsed="false">
      <c r="A59" s="811"/>
      <c r="B59" s="811"/>
      <c r="C59" s="811"/>
      <c r="D59" s="811"/>
      <c r="E59" s="811"/>
      <c r="F59" s="811"/>
      <c r="G59" s="811"/>
      <c r="H59" s="811"/>
      <c r="I59" s="811"/>
      <c r="J59" s="811"/>
      <c r="K59" s="811"/>
      <c r="L59" s="811"/>
      <c r="M59" s="811"/>
      <c r="N59" s="811"/>
      <c r="O59" s="811"/>
    </row>
    <row r="60" customFormat="false" ht="14.25" hidden="false" customHeight="true" outlineLevel="0" collapsed="false">
      <c r="A60" s="811"/>
      <c r="B60" s="811"/>
      <c r="C60" s="811"/>
      <c r="D60" s="811"/>
      <c r="E60" s="811"/>
      <c r="F60" s="811"/>
      <c r="G60" s="811"/>
      <c r="H60" s="811"/>
      <c r="I60" s="811"/>
      <c r="J60" s="811"/>
      <c r="K60" s="811"/>
      <c r="L60" s="811"/>
      <c r="M60" s="811"/>
      <c r="N60" s="811"/>
      <c r="O60" s="811"/>
    </row>
    <row r="61" customFormat="false" ht="14.25" hidden="false" customHeight="true" outlineLevel="0" collapsed="false">
      <c r="A61" s="811"/>
      <c r="B61" s="811"/>
      <c r="C61" s="811"/>
      <c r="D61" s="811"/>
      <c r="E61" s="811"/>
      <c r="F61" s="811"/>
      <c r="G61" s="811"/>
      <c r="H61" s="811"/>
      <c r="I61" s="811"/>
      <c r="J61" s="811"/>
      <c r="K61" s="811"/>
      <c r="L61" s="811"/>
      <c r="M61" s="811"/>
      <c r="N61" s="811"/>
      <c r="O61" s="811"/>
    </row>
    <row r="62" customFormat="false" ht="14.25" hidden="false" customHeight="true" outlineLevel="0" collapsed="false">
      <c r="A62" s="811"/>
      <c r="B62" s="811"/>
      <c r="C62" s="811"/>
      <c r="D62" s="811"/>
      <c r="E62" s="811"/>
      <c r="F62" s="811"/>
      <c r="G62" s="811"/>
      <c r="H62" s="811"/>
      <c r="I62" s="811"/>
      <c r="J62" s="811"/>
      <c r="K62" s="811"/>
      <c r="L62" s="811"/>
      <c r="M62" s="811"/>
      <c r="N62" s="811"/>
      <c r="O62" s="811"/>
    </row>
    <row r="63" customFormat="false" ht="14.25" hidden="false" customHeight="true" outlineLevel="0" collapsed="false">
      <c r="A63" s="811"/>
      <c r="B63" s="811"/>
      <c r="C63" s="811"/>
      <c r="D63" s="811"/>
      <c r="E63" s="811"/>
      <c r="F63" s="811"/>
      <c r="G63" s="811"/>
      <c r="H63" s="811"/>
      <c r="I63" s="811"/>
      <c r="J63" s="811"/>
      <c r="K63" s="811"/>
      <c r="L63" s="811"/>
      <c r="M63" s="811"/>
      <c r="N63" s="811"/>
      <c r="O63" s="811"/>
    </row>
    <row r="64" customFormat="false" ht="14.25" hidden="false" customHeight="true" outlineLevel="0" collapsed="false">
      <c r="A64" s="811"/>
      <c r="B64" s="811"/>
      <c r="C64" s="811"/>
      <c r="D64" s="811"/>
      <c r="E64" s="811"/>
      <c r="F64" s="811"/>
      <c r="G64" s="811"/>
      <c r="H64" s="811"/>
      <c r="I64" s="811"/>
      <c r="J64" s="811"/>
      <c r="K64" s="811"/>
      <c r="L64" s="811"/>
      <c r="M64" s="811"/>
      <c r="N64" s="811"/>
      <c r="O64" s="811"/>
    </row>
    <row r="65" customFormat="false" ht="14.25" hidden="false" customHeight="true" outlineLevel="0" collapsed="false">
      <c r="A65" s="811"/>
      <c r="B65" s="811"/>
      <c r="C65" s="811"/>
      <c r="D65" s="811"/>
      <c r="E65" s="811"/>
      <c r="F65" s="811"/>
      <c r="G65" s="811"/>
      <c r="H65" s="811"/>
      <c r="I65" s="811"/>
      <c r="J65" s="811"/>
      <c r="K65" s="811"/>
      <c r="L65" s="811"/>
      <c r="M65" s="811"/>
      <c r="N65" s="811"/>
      <c r="O65" s="811"/>
    </row>
  </sheetData>
  <sheetProtection algorithmName="SHA-512" hashValue="jdN/ylFR1vhhNDXoe4F4dDkklLg1UwcsH1wpPQzYRkCnkQw6icISpguWra47NH7q0UlvoLntLp5onUTDhKUA2A==" saltValue="MUZGo5nZz6L6aypUIeRmxA==" spinCount="100000" sheet="true" objects="true" scenarios="true"/>
  <mergeCells count="5">
    <mergeCell ref="C3:F3"/>
    <mergeCell ref="C4:F4"/>
    <mergeCell ref="C6:F6"/>
    <mergeCell ref="C8:F8"/>
    <mergeCell ref="C55:F55"/>
  </mergeCells>
  <conditionalFormatting sqref="C11:C31 C36:C53">
    <cfRule type="expression" priority="2" aboveAverage="0" equalAverage="0" bottom="0" percent="0" rank="0" text="" dxfId="61">
      <formula>SEARCH("ACCEPS",C11)</formula>
    </cfRule>
  </conditionalFormatting>
  <dataValidations count="2">
    <dataValidation allowBlank="true" error="Enter a dollar amount greater than zero." errorStyle="stop" operator="greaterThanOrEqual" showDropDown="false" showErrorMessage="true" showInputMessage="true" sqref="F11:F31 F36:F53" type="decimal">
      <formula1>0</formula1>
      <formula2>0</formula2>
    </dataValidation>
    <dataValidation allowBlank="true" error="Enter a date." errorStyle="stop" operator="greaterThan" showDropDown="false" showErrorMessage="true" showInputMessage="true" sqref="E11:E31 E36:E53" type="date">
      <formula1>36526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fals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6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5" activeCellId="0" sqref="P5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60.62"/>
    <col collapsed="false" customWidth="true" hidden="false" outlineLevel="0" max="6" min="4" style="1" width="15.62"/>
    <col collapsed="false" customWidth="true" hidden="false" outlineLevel="0" max="8" min="7" style="1" width="3.62"/>
    <col collapsed="false" customWidth="true" hidden="true" outlineLevel="0" max="15" min="9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810"/>
      <c r="B1" s="811"/>
      <c r="C1" s="811"/>
      <c r="D1" s="811"/>
      <c r="E1" s="811"/>
      <c r="F1" s="811"/>
      <c r="G1" s="811"/>
      <c r="H1" s="811"/>
      <c r="I1" s="811"/>
      <c r="J1" s="811"/>
      <c r="K1" s="811"/>
      <c r="L1" s="811"/>
      <c r="M1" s="811"/>
      <c r="N1" s="811"/>
      <c r="O1" s="811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818"/>
      <c r="B2" s="820"/>
      <c r="C2" s="81" t="str">
        <f aca="false">Contents!B59</f>
        <v>Version: AS L 6 LARGE locked LOCAL</v>
      </c>
      <c r="D2" s="1293"/>
      <c r="E2" s="820"/>
      <c r="F2" s="820"/>
      <c r="G2" s="820"/>
      <c r="H2" s="818"/>
      <c r="I2" s="818"/>
      <c r="J2" s="818"/>
      <c r="K2" s="818"/>
      <c r="L2" s="818"/>
      <c r="M2" s="818"/>
      <c r="N2" s="818"/>
      <c r="O2" s="818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814"/>
      <c r="B3" s="815"/>
      <c r="C3" s="816" t="str">
        <f aca="false">Contents!$E$3</f>
        <v>THE SOCIETY FOR CREATIVE ANACHRONISM, INC.</v>
      </c>
      <c r="D3" s="816"/>
      <c r="E3" s="816"/>
      <c r="F3" s="816"/>
      <c r="G3" s="815"/>
      <c r="H3" s="814"/>
      <c r="I3" s="814"/>
      <c r="J3" s="814"/>
      <c r="K3" s="814"/>
      <c r="L3" s="814"/>
      <c r="M3" s="814"/>
      <c r="N3" s="814"/>
      <c r="O3" s="81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811"/>
      <c r="B4" s="815"/>
      <c r="C4" s="816" t="str">
        <f aca="false">Contents!$E$4</f>
        <v>FINANCIAL REPORT</v>
      </c>
      <c r="D4" s="816"/>
      <c r="E4" s="816"/>
      <c r="F4" s="816"/>
      <c r="G4" s="815"/>
      <c r="H4" s="811"/>
      <c r="I4" s="811"/>
      <c r="J4" s="811"/>
      <c r="K4" s="811"/>
      <c r="L4" s="811"/>
      <c r="M4" s="811"/>
      <c r="N4" s="811"/>
      <c r="O4" s="811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811"/>
      <c r="B5" s="812"/>
      <c r="C5" s="817"/>
      <c r="D5" s="817"/>
      <c r="E5" s="812"/>
      <c r="F5" s="812"/>
      <c r="G5" s="812"/>
      <c r="H5" s="811"/>
      <c r="I5" s="811"/>
      <c r="J5" s="811"/>
      <c r="K5" s="811"/>
      <c r="L5" s="811"/>
      <c r="M5" s="811"/>
      <c r="N5" s="811"/>
      <c r="O5" s="811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811"/>
      <c r="B6" s="812"/>
      <c r="C6" s="819" t="str">
        <f aca="false">Contents!B58</f>
        <v>Branch:   SCA, Inc.- Middle Kingdom                                               Period:  1/01/2025             to     12/31/2025            .</v>
      </c>
      <c r="D6" s="819"/>
      <c r="E6" s="819"/>
      <c r="F6" s="819"/>
      <c r="G6" s="812"/>
      <c r="H6" s="811"/>
      <c r="I6" s="811"/>
      <c r="J6" s="811"/>
      <c r="K6" s="811"/>
      <c r="L6" s="811"/>
      <c r="M6" s="811"/>
      <c r="N6" s="811"/>
      <c r="O6" s="811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811"/>
      <c r="B7" s="812"/>
      <c r="C7" s="817"/>
      <c r="D7" s="817"/>
      <c r="E7" s="812"/>
      <c r="F7" s="812"/>
      <c r="G7" s="812"/>
      <c r="H7" s="811"/>
      <c r="I7" s="811"/>
      <c r="J7" s="811"/>
      <c r="K7" s="811"/>
      <c r="L7" s="811"/>
      <c r="M7" s="811"/>
      <c r="N7" s="811"/>
      <c r="O7" s="811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811"/>
      <c r="B8" s="812"/>
      <c r="C8" s="822" t="s">
        <v>922</v>
      </c>
      <c r="D8" s="822"/>
      <c r="E8" s="822"/>
      <c r="F8" s="822"/>
      <c r="G8" s="812"/>
      <c r="H8" s="811"/>
      <c r="I8" s="811"/>
      <c r="J8" s="811"/>
      <c r="K8" s="811"/>
      <c r="L8" s="811"/>
      <c r="M8" s="811"/>
      <c r="N8" s="811"/>
      <c r="O8" s="811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811"/>
      <c r="B9" s="812"/>
      <c r="C9" s="826" t="s">
        <v>586</v>
      </c>
      <c r="D9" s="817"/>
      <c r="E9" s="812"/>
      <c r="F9" s="812"/>
      <c r="G9" s="812"/>
      <c r="H9" s="811"/>
      <c r="I9" s="811"/>
      <c r="J9" s="811"/>
      <c r="K9" s="811"/>
      <c r="L9" s="811"/>
      <c r="M9" s="811"/>
      <c r="N9" s="811"/>
      <c r="O9" s="811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4.25" hidden="false" customHeight="false" outlineLevel="0" collapsed="false">
      <c r="A10" s="811"/>
      <c r="B10" s="812"/>
      <c r="C10" s="1294" t="s">
        <v>587</v>
      </c>
      <c r="D10" s="829" t="s">
        <v>588</v>
      </c>
      <c r="E10" s="829" t="s">
        <v>589</v>
      </c>
      <c r="F10" s="830" t="s">
        <v>416</v>
      </c>
      <c r="G10" s="812"/>
      <c r="H10" s="811"/>
      <c r="I10" s="811"/>
      <c r="J10" s="811"/>
      <c r="K10" s="811"/>
      <c r="L10" s="811"/>
      <c r="M10" s="811"/>
      <c r="N10" s="811"/>
      <c r="O10" s="811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false" outlineLevel="0" collapsed="false">
      <c r="A11" s="811"/>
      <c r="B11" s="812"/>
      <c r="C11" s="831"/>
      <c r="D11" s="832"/>
      <c r="E11" s="1295"/>
      <c r="F11" s="1296"/>
      <c r="G11" s="812"/>
      <c r="H11" s="811"/>
      <c r="I11" s="811"/>
      <c r="J11" s="811"/>
      <c r="K11" s="811"/>
      <c r="L11" s="811"/>
      <c r="M11" s="811"/>
      <c r="N11" s="811"/>
      <c r="O11" s="811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false" outlineLevel="0" collapsed="false">
      <c r="A12" s="811"/>
      <c r="B12" s="812"/>
      <c r="C12" s="835"/>
      <c r="D12" s="836"/>
      <c r="E12" s="1297"/>
      <c r="F12" s="1298"/>
      <c r="G12" s="812"/>
      <c r="H12" s="811"/>
      <c r="I12" s="811"/>
      <c r="J12" s="811"/>
      <c r="K12" s="811"/>
      <c r="L12" s="811"/>
      <c r="M12" s="811"/>
      <c r="N12" s="811"/>
      <c r="O12" s="811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false" outlineLevel="0" collapsed="false">
      <c r="A13" s="811"/>
      <c r="B13" s="812"/>
      <c r="C13" s="835"/>
      <c r="D13" s="836"/>
      <c r="E13" s="1297"/>
      <c r="F13" s="1298"/>
      <c r="G13" s="812"/>
      <c r="H13" s="811"/>
      <c r="I13" s="811"/>
      <c r="J13" s="811"/>
      <c r="K13" s="811"/>
      <c r="L13" s="811"/>
      <c r="M13" s="811"/>
      <c r="N13" s="811"/>
      <c r="O13" s="811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false" outlineLevel="0" collapsed="false">
      <c r="A14" s="811"/>
      <c r="B14" s="812"/>
      <c r="C14" s="835"/>
      <c r="D14" s="839"/>
      <c r="E14" s="1297"/>
      <c r="F14" s="1298"/>
      <c r="G14" s="812"/>
      <c r="H14" s="811"/>
      <c r="I14" s="811"/>
      <c r="J14" s="811"/>
      <c r="K14" s="811"/>
      <c r="L14" s="811"/>
      <c r="M14" s="811"/>
      <c r="N14" s="811"/>
      <c r="O14" s="811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811"/>
      <c r="B15" s="812"/>
      <c r="C15" s="835"/>
      <c r="D15" s="839"/>
      <c r="E15" s="1299"/>
      <c r="F15" s="1298"/>
      <c r="G15" s="812"/>
      <c r="H15" s="811"/>
      <c r="I15" s="811"/>
      <c r="J15" s="811"/>
      <c r="K15" s="811"/>
      <c r="L15" s="811"/>
      <c r="M15" s="811"/>
      <c r="N15" s="811"/>
      <c r="O15" s="811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false" outlineLevel="0" collapsed="false">
      <c r="A16" s="811"/>
      <c r="B16" s="812"/>
      <c r="C16" s="835"/>
      <c r="D16" s="836"/>
      <c r="E16" s="1299"/>
      <c r="F16" s="1298"/>
      <c r="G16" s="812"/>
      <c r="H16" s="811"/>
      <c r="I16" s="811"/>
      <c r="J16" s="811"/>
      <c r="K16" s="811"/>
      <c r="L16" s="811"/>
      <c r="M16" s="811"/>
      <c r="N16" s="811"/>
      <c r="O16" s="811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A17" s="811"/>
      <c r="B17" s="812"/>
      <c r="C17" s="835"/>
      <c r="D17" s="836"/>
      <c r="E17" s="1299"/>
      <c r="F17" s="1298"/>
      <c r="G17" s="812"/>
      <c r="H17" s="811"/>
      <c r="I17" s="811"/>
      <c r="J17" s="811"/>
      <c r="K17" s="811"/>
      <c r="L17" s="811"/>
      <c r="M17" s="811"/>
      <c r="N17" s="811"/>
      <c r="O17" s="811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A18" s="811"/>
      <c r="B18" s="812"/>
      <c r="C18" s="835"/>
      <c r="D18" s="836"/>
      <c r="E18" s="1299"/>
      <c r="F18" s="1298"/>
      <c r="G18" s="812"/>
      <c r="H18" s="811"/>
      <c r="I18" s="811"/>
      <c r="J18" s="811"/>
      <c r="K18" s="811"/>
      <c r="L18" s="811"/>
      <c r="M18" s="811"/>
      <c r="N18" s="811"/>
      <c r="O18" s="811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14.25" hidden="false" customHeight="false" outlineLevel="0" collapsed="false">
      <c r="A19" s="811"/>
      <c r="B19" s="812"/>
      <c r="C19" s="835"/>
      <c r="D19" s="836"/>
      <c r="E19" s="1299"/>
      <c r="F19" s="1298"/>
      <c r="G19" s="812"/>
      <c r="H19" s="811"/>
      <c r="I19" s="811"/>
      <c r="J19" s="811"/>
      <c r="K19" s="811"/>
      <c r="L19" s="811"/>
      <c r="M19" s="811"/>
      <c r="N19" s="811"/>
      <c r="O19" s="811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14.25" hidden="false" customHeight="false" outlineLevel="0" collapsed="false">
      <c r="A20" s="811"/>
      <c r="B20" s="812"/>
      <c r="C20" s="835"/>
      <c r="D20" s="836"/>
      <c r="E20" s="1299"/>
      <c r="F20" s="1298"/>
      <c r="G20" s="812"/>
      <c r="H20" s="811"/>
      <c r="I20" s="811"/>
      <c r="J20" s="811"/>
      <c r="K20" s="811"/>
      <c r="L20" s="811"/>
      <c r="M20" s="811"/>
      <c r="N20" s="811"/>
      <c r="O20" s="811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14.25" hidden="false" customHeight="false" outlineLevel="0" collapsed="false">
      <c r="A21" s="811"/>
      <c r="B21" s="812"/>
      <c r="C21" s="835"/>
      <c r="D21" s="839"/>
      <c r="E21" s="1299"/>
      <c r="F21" s="1298"/>
      <c r="G21" s="812"/>
      <c r="H21" s="811"/>
      <c r="I21" s="811"/>
      <c r="J21" s="811"/>
      <c r="K21" s="811"/>
      <c r="L21" s="811"/>
      <c r="M21" s="811"/>
      <c r="N21" s="811"/>
      <c r="O21" s="811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14.25" hidden="false" customHeight="false" outlineLevel="0" collapsed="false">
      <c r="A22" s="811"/>
      <c r="B22" s="812"/>
      <c r="C22" s="835"/>
      <c r="D22" s="836"/>
      <c r="E22" s="1299"/>
      <c r="F22" s="1298"/>
      <c r="G22" s="812"/>
      <c r="H22" s="811"/>
      <c r="I22" s="811"/>
      <c r="J22" s="811"/>
      <c r="K22" s="811"/>
      <c r="L22" s="811"/>
      <c r="M22" s="811"/>
      <c r="N22" s="811"/>
      <c r="O22" s="811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14.25" hidden="false" customHeight="false" outlineLevel="0" collapsed="false">
      <c r="A23" s="811"/>
      <c r="B23" s="812"/>
      <c r="C23" s="835"/>
      <c r="D23" s="836"/>
      <c r="E23" s="1299"/>
      <c r="F23" s="1298"/>
      <c r="G23" s="812"/>
      <c r="H23" s="811"/>
      <c r="I23" s="811"/>
      <c r="J23" s="811"/>
      <c r="K23" s="811"/>
      <c r="L23" s="811"/>
      <c r="M23" s="811"/>
      <c r="N23" s="811"/>
      <c r="O23" s="811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4.25" hidden="false" customHeight="false" outlineLevel="0" collapsed="false">
      <c r="A24" s="811"/>
      <c r="B24" s="812"/>
      <c r="C24" s="835"/>
      <c r="D24" s="836"/>
      <c r="E24" s="1299"/>
      <c r="F24" s="1298"/>
      <c r="G24" s="812"/>
      <c r="H24" s="811"/>
      <c r="I24" s="811"/>
      <c r="J24" s="811"/>
      <c r="K24" s="811"/>
      <c r="L24" s="811"/>
      <c r="M24" s="811"/>
      <c r="N24" s="811"/>
      <c r="O24" s="811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14.25" hidden="false" customHeight="false" outlineLevel="0" collapsed="false">
      <c r="A25" s="811"/>
      <c r="B25" s="812"/>
      <c r="C25" s="835"/>
      <c r="D25" s="836"/>
      <c r="E25" s="1299"/>
      <c r="F25" s="1298"/>
      <c r="G25" s="812"/>
      <c r="H25" s="811"/>
      <c r="I25" s="811"/>
      <c r="J25" s="811"/>
      <c r="K25" s="811"/>
      <c r="L25" s="811"/>
      <c r="M25" s="811"/>
      <c r="N25" s="811"/>
      <c r="O25" s="811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4.25" hidden="false" customHeight="false" outlineLevel="0" collapsed="false">
      <c r="A26" s="811"/>
      <c r="B26" s="812"/>
      <c r="C26" s="835"/>
      <c r="D26" s="836"/>
      <c r="E26" s="1299"/>
      <c r="F26" s="1298"/>
      <c r="G26" s="812"/>
      <c r="H26" s="811"/>
      <c r="I26" s="811"/>
      <c r="J26" s="811"/>
      <c r="K26" s="811"/>
      <c r="L26" s="811"/>
      <c r="M26" s="811"/>
      <c r="N26" s="811"/>
      <c r="O26" s="811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false" outlineLevel="0" collapsed="false">
      <c r="A27" s="811"/>
      <c r="B27" s="812"/>
      <c r="C27" s="835"/>
      <c r="D27" s="836"/>
      <c r="E27" s="1297"/>
      <c r="F27" s="1298"/>
      <c r="G27" s="812"/>
      <c r="H27" s="811"/>
      <c r="I27" s="811"/>
      <c r="J27" s="811"/>
      <c r="K27" s="811"/>
      <c r="L27" s="811"/>
      <c r="M27" s="811"/>
      <c r="N27" s="811"/>
      <c r="O27" s="811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A28" s="811"/>
      <c r="B28" s="812"/>
      <c r="C28" s="835"/>
      <c r="D28" s="836"/>
      <c r="E28" s="1297"/>
      <c r="F28" s="1298"/>
      <c r="G28" s="812"/>
      <c r="H28" s="811"/>
      <c r="I28" s="811"/>
      <c r="J28" s="811"/>
      <c r="K28" s="811"/>
      <c r="L28" s="811"/>
      <c r="M28" s="811"/>
      <c r="N28" s="811"/>
      <c r="O28" s="811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A29" s="811"/>
      <c r="B29" s="812"/>
      <c r="C29" s="835"/>
      <c r="D29" s="836"/>
      <c r="E29" s="1297"/>
      <c r="F29" s="1298"/>
      <c r="G29" s="812"/>
      <c r="H29" s="811"/>
      <c r="I29" s="811"/>
      <c r="J29" s="811"/>
      <c r="K29" s="811"/>
      <c r="L29" s="811"/>
      <c r="M29" s="811"/>
      <c r="N29" s="811"/>
      <c r="O29" s="811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4.25" hidden="false" customHeight="false" outlineLevel="0" collapsed="false">
      <c r="A30" s="811"/>
      <c r="B30" s="812"/>
      <c r="C30" s="835"/>
      <c r="D30" s="836"/>
      <c r="E30" s="1297"/>
      <c r="F30" s="1298"/>
      <c r="G30" s="812"/>
      <c r="H30" s="811"/>
      <c r="I30" s="811"/>
      <c r="J30" s="811"/>
      <c r="K30" s="811"/>
      <c r="L30" s="811"/>
      <c r="M30" s="811"/>
      <c r="N30" s="811"/>
      <c r="O30" s="811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14.25" hidden="false" customHeight="false" outlineLevel="0" collapsed="false">
      <c r="A31" s="811"/>
      <c r="B31" s="812"/>
      <c r="C31" s="835"/>
      <c r="D31" s="836"/>
      <c r="E31" s="1297"/>
      <c r="F31" s="1298"/>
      <c r="G31" s="812"/>
      <c r="H31" s="811"/>
      <c r="I31" s="811"/>
      <c r="J31" s="811"/>
      <c r="K31" s="811"/>
      <c r="L31" s="811"/>
      <c r="M31" s="811"/>
      <c r="N31" s="811"/>
      <c r="O31" s="811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A32" s="811"/>
      <c r="B32" s="812"/>
      <c r="C32" s="1300"/>
      <c r="D32" s="1301"/>
      <c r="E32" s="1302" t="s">
        <v>213</v>
      </c>
      <c r="F32" s="1303" t="n">
        <f aca="false">SUM(F11:F31)</f>
        <v>0</v>
      </c>
      <c r="G32" s="812"/>
      <c r="H32" s="811"/>
      <c r="I32" s="811"/>
      <c r="J32" s="811"/>
      <c r="K32" s="811"/>
      <c r="L32" s="811"/>
      <c r="M32" s="811"/>
      <c r="N32" s="811"/>
      <c r="O32" s="811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A33" s="811"/>
      <c r="B33" s="812"/>
      <c r="C33" s="812"/>
      <c r="D33" s="812"/>
      <c r="E33" s="845"/>
      <c r="F33" s="846"/>
      <c r="G33" s="812"/>
      <c r="H33" s="811"/>
      <c r="I33" s="811"/>
      <c r="J33" s="811"/>
      <c r="K33" s="811"/>
      <c r="L33" s="811"/>
      <c r="M33" s="811"/>
      <c r="N33" s="811"/>
      <c r="O33" s="811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A34" s="811"/>
      <c r="B34" s="812"/>
      <c r="C34" s="847" t="s">
        <v>629</v>
      </c>
      <c r="D34" s="812"/>
      <c r="E34" s="845"/>
      <c r="F34" s="846"/>
      <c r="G34" s="812"/>
      <c r="H34" s="811"/>
      <c r="I34" s="811"/>
      <c r="J34" s="811"/>
      <c r="K34" s="811"/>
      <c r="L34" s="811"/>
      <c r="M34" s="811"/>
      <c r="N34" s="811"/>
      <c r="O34" s="811"/>
      <c r="P34" s="79" t="s">
        <v>79</v>
      </c>
      <c r="Q34" s="78"/>
      <c r="R34" s="78"/>
      <c r="S34" s="78"/>
      <c r="T34" s="79" t="s">
        <v>87</v>
      </c>
    </row>
    <row r="35" customFormat="false" ht="26.45" hidden="false" customHeight="false" outlineLevel="0" collapsed="false">
      <c r="A35" s="811"/>
      <c r="B35" s="812"/>
      <c r="C35" s="848" t="s">
        <v>923</v>
      </c>
      <c r="D35" s="829" t="s">
        <v>588</v>
      </c>
      <c r="E35" s="829" t="s">
        <v>589</v>
      </c>
      <c r="F35" s="830" t="s">
        <v>416</v>
      </c>
      <c r="G35" s="812"/>
      <c r="H35" s="811"/>
      <c r="I35" s="811"/>
      <c r="J35" s="811"/>
      <c r="K35" s="811"/>
      <c r="L35" s="811"/>
      <c r="M35" s="811"/>
      <c r="N35" s="811"/>
      <c r="O35" s="811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A36" s="811"/>
      <c r="B36" s="812"/>
      <c r="C36" s="831"/>
      <c r="D36" s="832"/>
      <c r="E36" s="1295"/>
      <c r="F36" s="1296"/>
      <c r="G36" s="812"/>
      <c r="H36" s="811"/>
      <c r="I36" s="811"/>
      <c r="J36" s="811"/>
      <c r="K36" s="811"/>
      <c r="L36" s="811"/>
      <c r="M36" s="811"/>
      <c r="N36" s="811"/>
      <c r="O36" s="811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A37" s="811"/>
      <c r="B37" s="812"/>
      <c r="C37" s="835"/>
      <c r="D37" s="836"/>
      <c r="E37" s="1297"/>
      <c r="F37" s="1298"/>
      <c r="G37" s="812"/>
      <c r="H37" s="811"/>
      <c r="I37" s="811"/>
      <c r="J37" s="811"/>
      <c r="K37" s="811"/>
      <c r="L37" s="811"/>
      <c r="M37" s="811"/>
      <c r="N37" s="811"/>
      <c r="O37" s="811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A38" s="811"/>
      <c r="B38" s="812"/>
      <c r="C38" s="835"/>
      <c r="D38" s="836"/>
      <c r="E38" s="1297"/>
      <c r="F38" s="1298"/>
      <c r="G38" s="812"/>
      <c r="H38" s="811"/>
      <c r="I38" s="811"/>
      <c r="J38" s="811"/>
      <c r="K38" s="811"/>
      <c r="L38" s="811"/>
      <c r="M38" s="811"/>
      <c r="N38" s="811"/>
      <c r="O38" s="811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A39" s="811"/>
      <c r="B39" s="812"/>
      <c r="C39" s="835"/>
      <c r="D39" s="836"/>
      <c r="E39" s="1297"/>
      <c r="F39" s="1298"/>
      <c r="G39" s="812"/>
      <c r="H39" s="811"/>
      <c r="I39" s="811"/>
      <c r="J39" s="811"/>
      <c r="K39" s="811"/>
      <c r="L39" s="811"/>
      <c r="M39" s="811"/>
      <c r="N39" s="811"/>
      <c r="O39" s="811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A40" s="811"/>
      <c r="B40" s="812"/>
      <c r="C40" s="835"/>
      <c r="D40" s="836"/>
      <c r="E40" s="1297"/>
      <c r="F40" s="1298"/>
      <c r="G40" s="812"/>
      <c r="H40" s="811"/>
      <c r="I40" s="811"/>
      <c r="J40" s="811"/>
      <c r="K40" s="811"/>
      <c r="L40" s="811"/>
      <c r="M40" s="811"/>
      <c r="N40" s="811"/>
      <c r="O40" s="811"/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A41" s="811"/>
      <c r="B41" s="812"/>
      <c r="C41" s="835"/>
      <c r="D41" s="836"/>
      <c r="E41" s="1297"/>
      <c r="F41" s="1298"/>
      <c r="G41" s="812"/>
      <c r="H41" s="811"/>
      <c r="I41" s="811"/>
      <c r="J41" s="811"/>
      <c r="K41" s="811"/>
      <c r="L41" s="811"/>
      <c r="M41" s="811"/>
      <c r="N41" s="811"/>
      <c r="O41" s="811"/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A42" s="811"/>
      <c r="B42" s="812"/>
      <c r="C42" s="835"/>
      <c r="D42" s="836"/>
      <c r="E42" s="1297"/>
      <c r="F42" s="1298"/>
      <c r="G42" s="812"/>
      <c r="H42" s="811"/>
      <c r="I42" s="811"/>
      <c r="J42" s="811"/>
      <c r="K42" s="811"/>
      <c r="L42" s="811"/>
      <c r="M42" s="811"/>
      <c r="N42" s="811"/>
      <c r="O42" s="811"/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A43" s="811"/>
      <c r="B43" s="812"/>
      <c r="C43" s="835"/>
      <c r="D43" s="836"/>
      <c r="E43" s="1297"/>
      <c r="F43" s="1298"/>
      <c r="G43" s="812"/>
      <c r="H43" s="811"/>
      <c r="I43" s="811"/>
      <c r="J43" s="811"/>
      <c r="K43" s="811"/>
      <c r="L43" s="811"/>
      <c r="M43" s="811"/>
      <c r="N43" s="811"/>
      <c r="O43" s="811"/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A44" s="811"/>
      <c r="B44" s="812"/>
      <c r="C44" s="835"/>
      <c r="D44" s="836"/>
      <c r="E44" s="1297"/>
      <c r="F44" s="1298"/>
      <c r="G44" s="812"/>
      <c r="H44" s="811"/>
      <c r="I44" s="811"/>
      <c r="J44" s="811"/>
      <c r="K44" s="811"/>
      <c r="L44" s="811"/>
      <c r="M44" s="811"/>
      <c r="N44" s="811"/>
      <c r="O44" s="811"/>
      <c r="P44" s="78"/>
      <c r="Q44" s="78"/>
      <c r="R44" s="78"/>
      <c r="S44" s="78"/>
      <c r="T44" s="78"/>
    </row>
    <row r="45" customFormat="false" ht="14.25" hidden="false" customHeight="false" outlineLevel="0" collapsed="false">
      <c r="A45" s="811"/>
      <c r="B45" s="812"/>
      <c r="C45" s="835"/>
      <c r="D45" s="836"/>
      <c r="E45" s="1297"/>
      <c r="F45" s="1298"/>
      <c r="G45" s="812"/>
      <c r="H45" s="811"/>
      <c r="I45" s="811"/>
      <c r="J45" s="811"/>
      <c r="K45" s="811"/>
      <c r="L45" s="811"/>
      <c r="M45" s="811"/>
      <c r="N45" s="811"/>
      <c r="O45" s="811"/>
      <c r="P45" s="78"/>
      <c r="Q45" s="78"/>
      <c r="R45" s="78"/>
      <c r="S45" s="78"/>
      <c r="T45" s="78"/>
    </row>
    <row r="46" customFormat="false" ht="14.25" hidden="false" customHeight="false" outlineLevel="0" collapsed="false">
      <c r="A46" s="811"/>
      <c r="B46" s="812"/>
      <c r="C46" s="835"/>
      <c r="D46" s="836"/>
      <c r="E46" s="1297"/>
      <c r="F46" s="1298"/>
      <c r="G46" s="812"/>
      <c r="H46" s="811"/>
      <c r="I46" s="811"/>
      <c r="J46" s="811"/>
      <c r="K46" s="811"/>
      <c r="L46" s="811"/>
      <c r="M46" s="811"/>
      <c r="N46" s="811"/>
      <c r="O46" s="811"/>
      <c r="Q46" s="78"/>
      <c r="R46" s="78"/>
      <c r="S46" s="78"/>
      <c r="T46" s="78"/>
    </row>
    <row r="47" customFormat="false" ht="14.25" hidden="false" customHeight="false" outlineLevel="0" collapsed="false">
      <c r="A47" s="811"/>
      <c r="B47" s="812"/>
      <c r="C47" s="835"/>
      <c r="D47" s="836"/>
      <c r="E47" s="1297"/>
      <c r="F47" s="1298"/>
      <c r="G47" s="812"/>
      <c r="H47" s="811"/>
      <c r="I47" s="811"/>
      <c r="J47" s="811"/>
      <c r="K47" s="811"/>
      <c r="L47" s="811"/>
      <c r="M47" s="811"/>
      <c r="N47" s="811"/>
      <c r="O47" s="811"/>
      <c r="Q47" s="78"/>
      <c r="R47" s="78"/>
      <c r="S47" s="78"/>
      <c r="T47" s="78"/>
    </row>
    <row r="48" customFormat="false" ht="14.25" hidden="false" customHeight="false" outlineLevel="0" collapsed="false">
      <c r="A48" s="811"/>
      <c r="B48" s="812"/>
      <c r="C48" s="835"/>
      <c r="D48" s="836"/>
      <c r="E48" s="1297"/>
      <c r="F48" s="1298"/>
      <c r="G48" s="812"/>
      <c r="H48" s="811"/>
      <c r="I48" s="811"/>
      <c r="J48" s="811"/>
      <c r="K48" s="811"/>
      <c r="L48" s="811"/>
      <c r="M48" s="811"/>
      <c r="N48" s="811"/>
      <c r="O48" s="811"/>
      <c r="S48" s="78"/>
    </row>
    <row r="49" customFormat="false" ht="14.25" hidden="false" customHeight="false" outlineLevel="0" collapsed="false">
      <c r="A49" s="811"/>
      <c r="B49" s="812"/>
      <c r="C49" s="835"/>
      <c r="D49" s="836"/>
      <c r="E49" s="1297"/>
      <c r="F49" s="1298"/>
      <c r="G49" s="812"/>
      <c r="H49" s="811"/>
      <c r="I49" s="811"/>
      <c r="J49" s="811"/>
      <c r="K49" s="811"/>
      <c r="L49" s="811"/>
      <c r="M49" s="811"/>
      <c r="N49" s="811"/>
      <c r="O49" s="811"/>
      <c r="S49" s="78"/>
    </row>
    <row r="50" customFormat="false" ht="14.25" hidden="false" customHeight="false" outlineLevel="0" collapsed="false">
      <c r="A50" s="811"/>
      <c r="B50" s="812"/>
      <c r="C50" s="831"/>
      <c r="D50" s="836"/>
      <c r="E50" s="1297"/>
      <c r="F50" s="1298"/>
      <c r="G50" s="812"/>
      <c r="H50" s="811"/>
      <c r="I50" s="811"/>
      <c r="J50" s="811"/>
      <c r="K50" s="811"/>
      <c r="L50" s="811"/>
      <c r="M50" s="811"/>
      <c r="N50" s="811"/>
      <c r="O50" s="811"/>
    </row>
    <row r="51" customFormat="false" ht="14.25" hidden="false" customHeight="false" outlineLevel="0" collapsed="false">
      <c r="A51" s="811"/>
      <c r="B51" s="812"/>
      <c r="C51" s="835"/>
      <c r="D51" s="836"/>
      <c r="E51" s="1297"/>
      <c r="F51" s="1298"/>
      <c r="G51" s="812"/>
      <c r="H51" s="811"/>
      <c r="I51" s="811"/>
      <c r="J51" s="811"/>
      <c r="K51" s="811"/>
      <c r="L51" s="811"/>
      <c r="M51" s="811"/>
      <c r="N51" s="811"/>
      <c r="O51" s="811"/>
    </row>
    <row r="52" customFormat="false" ht="14.25" hidden="false" customHeight="false" outlineLevel="0" collapsed="false">
      <c r="A52" s="811"/>
      <c r="B52" s="812"/>
      <c r="C52" s="831"/>
      <c r="D52" s="836"/>
      <c r="E52" s="1297"/>
      <c r="F52" s="1298"/>
      <c r="G52" s="812"/>
      <c r="H52" s="811"/>
      <c r="I52" s="811"/>
      <c r="J52" s="811"/>
      <c r="K52" s="811"/>
      <c r="L52" s="811"/>
      <c r="M52" s="811"/>
      <c r="N52" s="811"/>
      <c r="O52" s="811"/>
    </row>
    <row r="53" customFormat="false" ht="14.25" hidden="false" customHeight="false" outlineLevel="0" collapsed="false">
      <c r="A53" s="811"/>
      <c r="B53" s="812"/>
      <c r="C53" s="835"/>
      <c r="D53" s="836"/>
      <c r="E53" s="1297"/>
      <c r="F53" s="1298"/>
      <c r="G53" s="812"/>
      <c r="H53" s="811"/>
      <c r="I53" s="811"/>
      <c r="J53" s="811"/>
      <c r="K53" s="811"/>
      <c r="L53" s="811"/>
      <c r="M53" s="811"/>
      <c r="N53" s="811"/>
      <c r="O53" s="811"/>
    </row>
    <row r="54" customFormat="false" ht="14.25" hidden="false" customHeight="false" outlineLevel="0" collapsed="false">
      <c r="A54" s="811"/>
      <c r="B54" s="812"/>
      <c r="C54" s="1300"/>
      <c r="D54" s="1301"/>
      <c r="E54" s="1302" t="s">
        <v>213</v>
      </c>
      <c r="F54" s="1303" t="n">
        <f aca="false">SUM(F36:F53)</f>
        <v>0</v>
      </c>
      <c r="G54" s="812"/>
      <c r="H54" s="811"/>
      <c r="I54" s="811"/>
      <c r="J54" s="811"/>
      <c r="K54" s="811"/>
      <c r="L54" s="811"/>
      <c r="M54" s="811"/>
      <c r="N54" s="811"/>
      <c r="O54" s="811"/>
    </row>
    <row r="55" customFormat="false" ht="14.25" hidden="false" customHeight="false" outlineLevel="0" collapsed="false">
      <c r="A55" s="811"/>
      <c r="B55" s="812"/>
      <c r="C55" s="850" t="s">
        <v>925</v>
      </c>
      <c r="D55" s="850"/>
      <c r="E55" s="850"/>
      <c r="F55" s="850"/>
      <c r="G55" s="812"/>
      <c r="H55" s="811"/>
      <c r="I55" s="811"/>
      <c r="J55" s="811"/>
      <c r="K55" s="811"/>
      <c r="L55" s="811"/>
      <c r="M55" s="811"/>
      <c r="N55" s="811"/>
      <c r="O55" s="811"/>
    </row>
    <row r="56" customFormat="false" ht="14.25" hidden="false" customHeight="false" outlineLevel="0" collapsed="false">
      <c r="A56" s="811"/>
      <c r="B56" s="811"/>
      <c r="C56" s="811"/>
      <c r="D56" s="811"/>
      <c r="E56" s="811"/>
      <c r="F56" s="811"/>
      <c r="G56" s="811"/>
      <c r="H56" s="811"/>
      <c r="I56" s="811"/>
      <c r="J56" s="811"/>
      <c r="K56" s="811"/>
      <c r="L56" s="811"/>
      <c r="M56" s="811"/>
      <c r="N56" s="811"/>
      <c r="O56" s="811"/>
    </row>
    <row r="57" customFormat="false" ht="14.25" hidden="false" customHeight="false" outlineLevel="0" collapsed="false">
      <c r="A57" s="811"/>
      <c r="B57" s="811"/>
      <c r="C57" s="811"/>
      <c r="D57" s="811"/>
      <c r="E57" s="811"/>
      <c r="F57" s="811"/>
      <c r="G57" s="811"/>
      <c r="H57" s="811"/>
      <c r="I57" s="811"/>
      <c r="J57" s="811"/>
      <c r="K57" s="811"/>
      <c r="L57" s="811"/>
      <c r="M57" s="811"/>
      <c r="N57" s="811"/>
      <c r="O57" s="811"/>
    </row>
    <row r="58" customFormat="false" ht="14.25" hidden="false" customHeight="false" outlineLevel="0" collapsed="false">
      <c r="A58" s="811"/>
      <c r="B58" s="811"/>
      <c r="C58" s="811"/>
      <c r="D58" s="811"/>
      <c r="E58" s="811"/>
      <c r="F58" s="811"/>
      <c r="G58" s="811"/>
      <c r="H58" s="811"/>
      <c r="I58" s="811"/>
      <c r="J58" s="811"/>
      <c r="K58" s="811"/>
      <c r="L58" s="811"/>
      <c r="M58" s="811"/>
      <c r="N58" s="811"/>
      <c r="O58" s="811"/>
    </row>
    <row r="59" customFormat="false" ht="14.25" hidden="false" customHeight="false" outlineLevel="0" collapsed="false">
      <c r="A59" s="811"/>
      <c r="B59" s="811"/>
      <c r="C59" s="811"/>
      <c r="D59" s="811"/>
      <c r="E59" s="811"/>
      <c r="F59" s="811"/>
      <c r="G59" s="811"/>
      <c r="H59" s="811"/>
      <c r="I59" s="811"/>
      <c r="J59" s="811"/>
      <c r="K59" s="811"/>
      <c r="L59" s="811"/>
      <c r="M59" s="811"/>
      <c r="N59" s="811"/>
      <c r="O59" s="811"/>
    </row>
    <row r="60" customFormat="false" ht="14.25" hidden="false" customHeight="false" outlineLevel="0" collapsed="false">
      <c r="A60" s="811"/>
      <c r="B60" s="811"/>
      <c r="C60" s="811"/>
      <c r="D60" s="811"/>
      <c r="E60" s="811"/>
      <c r="F60" s="811"/>
      <c r="G60" s="811"/>
      <c r="H60" s="811"/>
      <c r="I60" s="811"/>
      <c r="J60" s="811"/>
      <c r="K60" s="811"/>
      <c r="L60" s="811"/>
      <c r="M60" s="811"/>
      <c r="N60" s="811"/>
      <c r="O60" s="811"/>
    </row>
    <row r="61" customFormat="false" ht="14.25" hidden="false" customHeight="false" outlineLevel="0" collapsed="false">
      <c r="A61" s="811"/>
      <c r="B61" s="811"/>
      <c r="C61" s="811"/>
      <c r="D61" s="811"/>
      <c r="E61" s="811"/>
      <c r="F61" s="811"/>
      <c r="G61" s="811"/>
      <c r="H61" s="811"/>
      <c r="I61" s="811"/>
      <c r="J61" s="811"/>
      <c r="K61" s="811"/>
      <c r="L61" s="811"/>
      <c r="M61" s="811"/>
      <c r="N61" s="811"/>
      <c r="O61" s="811"/>
    </row>
    <row r="62" customFormat="false" ht="14.25" hidden="false" customHeight="false" outlineLevel="0" collapsed="false">
      <c r="A62" s="811"/>
      <c r="B62" s="811"/>
      <c r="C62" s="811"/>
      <c r="D62" s="811"/>
      <c r="E62" s="811"/>
      <c r="F62" s="811"/>
      <c r="G62" s="811"/>
      <c r="H62" s="811"/>
      <c r="I62" s="811"/>
      <c r="J62" s="811"/>
      <c r="K62" s="811"/>
      <c r="L62" s="811"/>
      <c r="M62" s="811"/>
      <c r="N62" s="811"/>
      <c r="O62" s="811"/>
    </row>
  </sheetData>
  <sheetProtection algorithmName="SHA-512" hashValue="UwEe9YqzYPOerHsyIiUtkR6lE578xbj6oP6WA4d7swe/7NZvvDuPUAdT1ntlDjdFIdOpYmDUoiuXSSBpk5rEHw==" saltValue="UyWlYmoWEzI/7e5jLsd/Rg==" spinCount="100000" sheet="true" objects="true" scenarios="true"/>
  <mergeCells count="5">
    <mergeCell ref="C3:F3"/>
    <mergeCell ref="C4:F4"/>
    <mergeCell ref="C6:F6"/>
    <mergeCell ref="C8:F8"/>
    <mergeCell ref="C55:F55"/>
  </mergeCells>
  <conditionalFormatting sqref="C11:C31 C36:C53">
    <cfRule type="expression" priority="2" aboveAverage="0" equalAverage="0" bottom="0" percent="0" rank="0" text="" dxfId="62">
      <formula>SEARCH("ACCEPS",C11)</formula>
    </cfRule>
  </conditionalFormatting>
  <dataValidations count="2">
    <dataValidation allowBlank="true" error="Enter a dollar amount greater than zero." errorStyle="stop" operator="greaterThanOrEqual" showDropDown="false" showErrorMessage="true" showInputMessage="true" sqref="F11:F31 F36:F53" type="decimal">
      <formula1>0</formula1>
      <formula2>0</formula2>
    </dataValidation>
    <dataValidation allowBlank="true" error="Enter a date." errorStyle="stop" operator="greaterThan" showDropDown="false" showErrorMessage="true" showInputMessage="true" sqref="E11:E31 E36:E53" type="date">
      <formula1>36526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15" activeCellId="0" sqref="P15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60.62"/>
    <col collapsed="false" customWidth="true" hidden="false" outlineLevel="0" max="6" min="4" style="1" width="15.62"/>
    <col collapsed="false" customWidth="true" hidden="false" outlineLevel="0" max="8" min="7" style="1" width="3.62"/>
    <col collapsed="false" customWidth="false" hidden="true" outlineLevel="0" max="15" min="9" style="1" width="9.1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810"/>
      <c r="B1" s="811"/>
      <c r="C1" s="811"/>
      <c r="D1" s="811"/>
      <c r="E1" s="811"/>
      <c r="F1" s="811"/>
      <c r="G1" s="811"/>
      <c r="H1" s="811"/>
      <c r="I1" s="811"/>
      <c r="J1" s="811"/>
      <c r="K1" s="811"/>
      <c r="L1" s="811"/>
      <c r="M1" s="811"/>
      <c r="N1" s="811"/>
      <c r="O1" s="811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818"/>
      <c r="B2" s="820"/>
      <c r="C2" s="81" t="str">
        <f aca="false">Contents!B59</f>
        <v>Version: AS L 6 LARGE locked LOCAL</v>
      </c>
      <c r="D2" s="1293"/>
      <c r="E2" s="820"/>
      <c r="F2" s="820"/>
      <c r="G2" s="820"/>
      <c r="H2" s="818"/>
      <c r="I2" s="818"/>
      <c r="J2" s="818"/>
      <c r="K2" s="818"/>
      <c r="L2" s="818"/>
      <c r="M2" s="818"/>
      <c r="N2" s="818"/>
      <c r="O2" s="818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814"/>
      <c r="B3" s="815"/>
      <c r="C3" s="816" t="str">
        <f aca="false">Contents!$E$3</f>
        <v>THE SOCIETY FOR CREATIVE ANACHRONISM, INC.</v>
      </c>
      <c r="D3" s="816"/>
      <c r="E3" s="816"/>
      <c r="F3" s="816"/>
      <c r="G3" s="815"/>
      <c r="H3" s="814"/>
      <c r="I3" s="814"/>
      <c r="J3" s="814"/>
      <c r="K3" s="814"/>
      <c r="L3" s="814"/>
      <c r="M3" s="814"/>
      <c r="N3" s="814"/>
      <c r="O3" s="81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811"/>
      <c r="B4" s="815"/>
      <c r="C4" s="816" t="str">
        <f aca="false">Contents!$E$4</f>
        <v>FINANCIAL REPORT</v>
      </c>
      <c r="D4" s="816"/>
      <c r="E4" s="816"/>
      <c r="F4" s="816"/>
      <c r="G4" s="815"/>
      <c r="H4" s="811"/>
      <c r="I4" s="811"/>
      <c r="J4" s="811"/>
      <c r="K4" s="811"/>
      <c r="L4" s="811"/>
      <c r="M4" s="811"/>
      <c r="N4" s="811"/>
      <c r="O4" s="811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811"/>
      <c r="B5" s="812"/>
      <c r="C5" s="817"/>
      <c r="D5" s="817"/>
      <c r="E5" s="812"/>
      <c r="F5" s="812"/>
      <c r="G5" s="812"/>
      <c r="H5" s="811"/>
      <c r="I5" s="811"/>
      <c r="J5" s="811"/>
      <c r="K5" s="811"/>
      <c r="L5" s="811"/>
      <c r="M5" s="811"/>
      <c r="N5" s="811"/>
      <c r="O5" s="811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811"/>
      <c r="B6" s="812"/>
      <c r="C6" s="819" t="str">
        <f aca="false">Contents!B58</f>
        <v>Branch:   SCA, Inc.- Middle Kingdom                                               Period:  1/01/2025             to     12/31/2025            .</v>
      </c>
      <c r="D6" s="819"/>
      <c r="E6" s="819"/>
      <c r="F6" s="819"/>
      <c r="G6" s="812"/>
      <c r="H6" s="811"/>
      <c r="I6" s="811"/>
      <c r="J6" s="811"/>
      <c r="K6" s="811"/>
      <c r="L6" s="811"/>
      <c r="M6" s="811"/>
      <c r="N6" s="811"/>
      <c r="O6" s="811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811"/>
      <c r="B7" s="812"/>
      <c r="C7" s="817"/>
      <c r="D7" s="817"/>
      <c r="E7" s="812"/>
      <c r="F7" s="812"/>
      <c r="G7" s="812"/>
      <c r="H7" s="811"/>
      <c r="I7" s="811"/>
      <c r="J7" s="811"/>
      <c r="K7" s="811"/>
      <c r="L7" s="811"/>
      <c r="M7" s="811"/>
      <c r="N7" s="811"/>
      <c r="O7" s="811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811"/>
      <c r="B8" s="812"/>
      <c r="C8" s="822" t="s">
        <v>922</v>
      </c>
      <c r="D8" s="822"/>
      <c r="E8" s="822"/>
      <c r="F8" s="822"/>
      <c r="G8" s="812"/>
      <c r="H8" s="811"/>
      <c r="I8" s="811"/>
      <c r="J8" s="811"/>
      <c r="K8" s="811"/>
      <c r="L8" s="811"/>
      <c r="M8" s="811"/>
      <c r="N8" s="811"/>
      <c r="O8" s="811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811"/>
      <c r="B9" s="812"/>
      <c r="C9" s="826" t="s">
        <v>586</v>
      </c>
      <c r="D9" s="817"/>
      <c r="E9" s="812"/>
      <c r="F9" s="812"/>
      <c r="G9" s="812"/>
      <c r="H9" s="811"/>
      <c r="I9" s="811"/>
      <c r="J9" s="811"/>
      <c r="K9" s="811"/>
      <c r="L9" s="811"/>
      <c r="M9" s="811"/>
      <c r="N9" s="811"/>
      <c r="O9" s="811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4.25" hidden="false" customHeight="false" outlineLevel="0" collapsed="false">
      <c r="A10" s="811"/>
      <c r="B10" s="812"/>
      <c r="C10" s="828" t="s">
        <v>587</v>
      </c>
      <c r="D10" s="829" t="s">
        <v>588</v>
      </c>
      <c r="E10" s="829" t="s">
        <v>589</v>
      </c>
      <c r="F10" s="830" t="s">
        <v>416</v>
      </c>
      <c r="G10" s="812"/>
      <c r="H10" s="811"/>
      <c r="I10" s="811"/>
      <c r="J10" s="811"/>
      <c r="K10" s="811"/>
      <c r="L10" s="811"/>
      <c r="M10" s="811"/>
      <c r="N10" s="811"/>
      <c r="O10" s="811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false" outlineLevel="0" collapsed="false">
      <c r="A11" s="811"/>
      <c r="B11" s="812"/>
      <c r="C11" s="831"/>
      <c r="D11" s="832"/>
      <c r="E11" s="1295"/>
      <c r="F11" s="1296"/>
      <c r="G11" s="812"/>
      <c r="H11" s="811"/>
      <c r="I11" s="811"/>
      <c r="J11" s="811"/>
      <c r="K11" s="811"/>
      <c r="L11" s="811"/>
      <c r="M11" s="811"/>
      <c r="N11" s="811"/>
      <c r="O11" s="811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false" outlineLevel="0" collapsed="false">
      <c r="A12" s="811"/>
      <c r="B12" s="812"/>
      <c r="C12" s="835"/>
      <c r="D12" s="836"/>
      <c r="E12" s="1297"/>
      <c r="F12" s="1298"/>
      <c r="G12" s="812"/>
      <c r="H12" s="811"/>
      <c r="I12" s="811"/>
      <c r="J12" s="811"/>
      <c r="K12" s="811"/>
      <c r="L12" s="811"/>
      <c r="M12" s="811"/>
      <c r="N12" s="811"/>
      <c r="O12" s="811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false" outlineLevel="0" collapsed="false">
      <c r="A13" s="811"/>
      <c r="B13" s="812"/>
      <c r="C13" s="835"/>
      <c r="D13" s="836"/>
      <c r="E13" s="1297"/>
      <c r="F13" s="1298"/>
      <c r="G13" s="812"/>
      <c r="H13" s="811"/>
      <c r="I13" s="811"/>
      <c r="J13" s="811"/>
      <c r="K13" s="811"/>
      <c r="L13" s="811"/>
      <c r="M13" s="811"/>
      <c r="N13" s="811"/>
      <c r="O13" s="811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false" outlineLevel="0" collapsed="false">
      <c r="A14" s="811"/>
      <c r="B14" s="812"/>
      <c r="C14" s="835"/>
      <c r="D14" s="839"/>
      <c r="E14" s="1299"/>
      <c r="F14" s="1298"/>
      <c r="G14" s="812"/>
      <c r="H14" s="811"/>
      <c r="I14" s="811"/>
      <c r="J14" s="811"/>
      <c r="K14" s="811"/>
      <c r="L14" s="811"/>
      <c r="M14" s="811"/>
      <c r="N14" s="811"/>
      <c r="O14" s="811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811"/>
      <c r="B15" s="812"/>
      <c r="C15" s="835"/>
      <c r="D15" s="836"/>
      <c r="E15" s="1299"/>
      <c r="F15" s="1298"/>
      <c r="G15" s="812"/>
      <c r="H15" s="811"/>
      <c r="I15" s="811"/>
      <c r="J15" s="811"/>
      <c r="K15" s="811"/>
      <c r="L15" s="811"/>
      <c r="M15" s="811"/>
      <c r="N15" s="811"/>
      <c r="O15" s="811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false" outlineLevel="0" collapsed="false">
      <c r="A16" s="811"/>
      <c r="B16" s="812"/>
      <c r="C16" s="835"/>
      <c r="D16" s="836"/>
      <c r="E16" s="1299"/>
      <c r="F16" s="1298"/>
      <c r="G16" s="812"/>
      <c r="H16" s="811"/>
      <c r="I16" s="811"/>
      <c r="J16" s="811"/>
      <c r="K16" s="811"/>
      <c r="L16" s="811"/>
      <c r="M16" s="811"/>
      <c r="N16" s="811"/>
      <c r="O16" s="811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A17" s="811"/>
      <c r="B17" s="812"/>
      <c r="C17" s="835"/>
      <c r="D17" s="836"/>
      <c r="E17" s="1299"/>
      <c r="F17" s="1298"/>
      <c r="G17" s="812"/>
      <c r="H17" s="811"/>
      <c r="I17" s="811"/>
      <c r="J17" s="811"/>
      <c r="K17" s="811"/>
      <c r="L17" s="811"/>
      <c r="M17" s="811"/>
      <c r="N17" s="811"/>
      <c r="O17" s="811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A18" s="811"/>
      <c r="B18" s="812"/>
      <c r="C18" s="835"/>
      <c r="D18" s="836"/>
      <c r="E18" s="1299"/>
      <c r="F18" s="1298"/>
      <c r="G18" s="812"/>
      <c r="H18" s="811"/>
      <c r="I18" s="811"/>
      <c r="J18" s="811"/>
      <c r="K18" s="811"/>
      <c r="L18" s="811"/>
      <c r="M18" s="811"/>
      <c r="N18" s="811"/>
      <c r="O18" s="811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14.25" hidden="false" customHeight="false" outlineLevel="0" collapsed="false">
      <c r="A19" s="811"/>
      <c r="B19" s="812"/>
      <c r="C19" s="835"/>
      <c r="D19" s="836"/>
      <c r="E19" s="1299"/>
      <c r="F19" s="1298"/>
      <c r="G19" s="812"/>
      <c r="H19" s="811"/>
      <c r="I19" s="811"/>
      <c r="J19" s="811"/>
      <c r="K19" s="811"/>
      <c r="L19" s="811"/>
      <c r="M19" s="811"/>
      <c r="N19" s="811"/>
      <c r="O19" s="811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14.25" hidden="false" customHeight="false" outlineLevel="0" collapsed="false">
      <c r="A20" s="811"/>
      <c r="B20" s="812"/>
      <c r="C20" s="835"/>
      <c r="D20" s="836"/>
      <c r="E20" s="1299"/>
      <c r="F20" s="1298"/>
      <c r="G20" s="812"/>
      <c r="H20" s="811"/>
      <c r="I20" s="811"/>
      <c r="J20" s="811"/>
      <c r="K20" s="811"/>
      <c r="L20" s="811"/>
      <c r="M20" s="811"/>
      <c r="N20" s="811"/>
      <c r="O20" s="811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14.25" hidden="false" customHeight="false" outlineLevel="0" collapsed="false">
      <c r="A21" s="811"/>
      <c r="B21" s="812"/>
      <c r="C21" s="835"/>
      <c r="D21" s="836"/>
      <c r="E21" s="1299"/>
      <c r="F21" s="1298"/>
      <c r="G21" s="812"/>
      <c r="H21" s="811"/>
      <c r="I21" s="811"/>
      <c r="J21" s="811"/>
      <c r="K21" s="811"/>
      <c r="L21" s="811"/>
      <c r="M21" s="811"/>
      <c r="N21" s="811"/>
      <c r="O21" s="811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14.25" hidden="false" customHeight="false" outlineLevel="0" collapsed="false">
      <c r="A22" s="811"/>
      <c r="B22" s="812"/>
      <c r="C22" s="835"/>
      <c r="D22" s="836"/>
      <c r="E22" s="1299"/>
      <c r="F22" s="1298"/>
      <c r="G22" s="812"/>
      <c r="H22" s="811"/>
      <c r="I22" s="811"/>
      <c r="J22" s="811"/>
      <c r="K22" s="811"/>
      <c r="L22" s="811"/>
      <c r="M22" s="811"/>
      <c r="N22" s="811"/>
      <c r="O22" s="811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14.25" hidden="false" customHeight="false" outlineLevel="0" collapsed="false">
      <c r="A23" s="811"/>
      <c r="B23" s="812"/>
      <c r="C23" s="835"/>
      <c r="D23" s="836"/>
      <c r="E23" s="1299"/>
      <c r="F23" s="1298"/>
      <c r="G23" s="812"/>
      <c r="H23" s="811"/>
      <c r="I23" s="811"/>
      <c r="J23" s="811"/>
      <c r="K23" s="811"/>
      <c r="L23" s="811"/>
      <c r="M23" s="811"/>
      <c r="N23" s="811"/>
      <c r="O23" s="811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4.25" hidden="false" customHeight="false" outlineLevel="0" collapsed="false">
      <c r="A24" s="811"/>
      <c r="B24" s="812"/>
      <c r="C24" s="835"/>
      <c r="D24" s="836"/>
      <c r="E24" s="1297"/>
      <c r="F24" s="1298"/>
      <c r="G24" s="812"/>
      <c r="H24" s="811"/>
      <c r="I24" s="811"/>
      <c r="J24" s="811"/>
      <c r="K24" s="811"/>
      <c r="L24" s="811"/>
      <c r="M24" s="811"/>
      <c r="N24" s="811"/>
      <c r="O24" s="811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14.25" hidden="false" customHeight="false" outlineLevel="0" collapsed="false">
      <c r="A25" s="811"/>
      <c r="B25" s="812"/>
      <c r="C25" s="835"/>
      <c r="D25" s="836"/>
      <c r="E25" s="1297"/>
      <c r="F25" s="1298"/>
      <c r="G25" s="812"/>
      <c r="H25" s="811"/>
      <c r="I25" s="811"/>
      <c r="J25" s="811"/>
      <c r="K25" s="811"/>
      <c r="L25" s="811"/>
      <c r="M25" s="811"/>
      <c r="N25" s="811"/>
      <c r="O25" s="811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4.25" hidden="false" customHeight="false" outlineLevel="0" collapsed="false">
      <c r="A26" s="811"/>
      <c r="B26" s="812"/>
      <c r="C26" s="835"/>
      <c r="D26" s="836"/>
      <c r="E26" s="1299"/>
      <c r="F26" s="1298"/>
      <c r="G26" s="812"/>
      <c r="H26" s="811"/>
      <c r="I26" s="811"/>
      <c r="J26" s="811"/>
      <c r="K26" s="811"/>
      <c r="L26" s="811"/>
      <c r="M26" s="811"/>
      <c r="N26" s="811"/>
      <c r="O26" s="811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false" outlineLevel="0" collapsed="false">
      <c r="A27" s="811"/>
      <c r="B27" s="812"/>
      <c r="C27" s="835"/>
      <c r="D27" s="839"/>
      <c r="E27" s="1299"/>
      <c r="F27" s="1298"/>
      <c r="G27" s="812"/>
      <c r="H27" s="811"/>
      <c r="I27" s="811"/>
      <c r="J27" s="811"/>
      <c r="K27" s="811"/>
      <c r="L27" s="811"/>
      <c r="M27" s="811"/>
      <c r="N27" s="811"/>
      <c r="O27" s="811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A28" s="811"/>
      <c r="B28" s="812"/>
      <c r="C28" s="835"/>
      <c r="D28" s="836"/>
      <c r="E28" s="1299"/>
      <c r="F28" s="1298"/>
      <c r="G28" s="812"/>
      <c r="H28" s="811"/>
      <c r="I28" s="811"/>
      <c r="J28" s="811"/>
      <c r="K28" s="811"/>
      <c r="L28" s="811"/>
      <c r="M28" s="811"/>
      <c r="N28" s="811"/>
      <c r="O28" s="811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A29" s="811"/>
      <c r="B29" s="812"/>
      <c r="C29" s="835"/>
      <c r="D29" s="836"/>
      <c r="E29" s="1299"/>
      <c r="F29" s="1298"/>
      <c r="G29" s="812"/>
      <c r="H29" s="811"/>
      <c r="I29" s="811"/>
      <c r="J29" s="811"/>
      <c r="K29" s="811"/>
      <c r="L29" s="811"/>
      <c r="M29" s="811"/>
      <c r="N29" s="811"/>
      <c r="O29" s="811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4.25" hidden="false" customHeight="false" outlineLevel="0" collapsed="false">
      <c r="A30" s="811"/>
      <c r="B30" s="812"/>
      <c r="C30" s="835"/>
      <c r="D30" s="836"/>
      <c r="E30" s="1299"/>
      <c r="F30" s="1298"/>
      <c r="G30" s="812"/>
      <c r="H30" s="811"/>
      <c r="I30" s="811"/>
      <c r="J30" s="811"/>
      <c r="K30" s="811"/>
      <c r="L30" s="811"/>
      <c r="M30" s="811"/>
      <c r="N30" s="811"/>
      <c r="O30" s="811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14.25" hidden="false" customHeight="false" outlineLevel="0" collapsed="false">
      <c r="A31" s="811"/>
      <c r="B31" s="812"/>
      <c r="C31" s="835"/>
      <c r="D31" s="836"/>
      <c r="E31" s="1299"/>
      <c r="F31" s="1298"/>
      <c r="G31" s="812"/>
      <c r="H31" s="811"/>
      <c r="I31" s="811"/>
      <c r="J31" s="811"/>
      <c r="K31" s="811"/>
      <c r="L31" s="811"/>
      <c r="M31" s="811"/>
      <c r="N31" s="811"/>
      <c r="O31" s="811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A32" s="811"/>
      <c r="B32" s="812"/>
      <c r="C32" s="831"/>
      <c r="D32" s="836"/>
      <c r="E32" s="1299"/>
      <c r="F32" s="1298"/>
      <c r="G32" s="812"/>
      <c r="H32" s="811"/>
      <c r="I32" s="811"/>
      <c r="J32" s="811"/>
      <c r="K32" s="811"/>
      <c r="L32" s="811"/>
      <c r="M32" s="811"/>
      <c r="N32" s="811"/>
      <c r="O32" s="811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A33" s="811"/>
      <c r="B33" s="812"/>
      <c r="C33" s="835"/>
      <c r="D33" s="836"/>
      <c r="E33" s="1297"/>
      <c r="F33" s="1298"/>
      <c r="G33" s="812"/>
      <c r="H33" s="811"/>
      <c r="I33" s="811"/>
      <c r="J33" s="811"/>
      <c r="K33" s="811"/>
      <c r="L33" s="811"/>
      <c r="M33" s="811"/>
      <c r="N33" s="811"/>
      <c r="O33" s="811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A34" s="811"/>
      <c r="B34" s="812"/>
      <c r="C34" s="835"/>
      <c r="D34" s="836"/>
      <c r="E34" s="1297"/>
      <c r="F34" s="1298"/>
      <c r="G34" s="812"/>
      <c r="H34" s="811"/>
      <c r="I34" s="811"/>
      <c r="J34" s="811"/>
      <c r="K34" s="811"/>
      <c r="L34" s="811"/>
      <c r="M34" s="811"/>
      <c r="N34" s="811"/>
      <c r="O34" s="811"/>
      <c r="P34" s="79" t="s">
        <v>79</v>
      </c>
      <c r="Q34" s="78"/>
      <c r="R34" s="78"/>
      <c r="S34" s="78"/>
      <c r="T34" s="79" t="s">
        <v>87</v>
      </c>
    </row>
    <row r="35" customFormat="false" ht="14.25" hidden="false" customHeight="false" outlineLevel="0" collapsed="false">
      <c r="A35" s="811"/>
      <c r="B35" s="812"/>
      <c r="C35" s="835"/>
      <c r="D35" s="836"/>
      <c r="E35" s="1297"/>
      <c r="F35" s="1298"/>
      <c r="G35" s="812"/>
      <c r="H35" s="811"/>
      <c r="I35" s="811"/>
      <c r="J35" s="811"/>
      <c r="K35" s="811"/>
      <c r="L35" s="811"/>
      <c r="M35" s="811"/>
      <c r="N35" s="811"/>
      <c r="O35" s="811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A36" s="811"/>
      <c r="B36" s="812"/>
      <c r="C36" s="835"/>
      <c r="D36" s="836"/>
      <c r="E36" s="1297"/>
      <c r="F36" s="1298"/>
      <c r="G36" s="812"/>
      <c r="H36" s="811"/>
      <c r="I36" s="811"/>
      <c r="J36" s="811"/>
      <c r="K36" s="811"/>
      <c r="L36" s="811"/>
      <c r="M36" s="811"/>
      <c r="N36" s="811"/>
      <c r="O36" s="811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A37" s="811"/>
      <c r="B37" s="812"/>
      <c r="C37" s="835"/>
      <c r="D37" s="839"/>
      <c r="E37" s="1297"/>
      <c r="F37" s="1298"/>
      <c r="G37" s="812"/>
      <c r="H37" s="811"/>
      <c r="I37" s="811"/>
      <c r="J37" s="811"/>
      <c r="K37" s="811"/>
      <c r="L37" s="811"/>
      <c r="M37" s="811"/>
      <c r="N37" s="811"/>
      <c r="O37" s="811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A38" s="811"/>
      <c r="B38" s="812"/>
      <c r="C38" s="835"/>
      <c r="D38" s="839"/>
      <c r="E38" s="1299"/>
      <c r="F38" s="1298"/>
      <c r="G38" s="812"/>
      <c r="H38" s="811"/>
      <c r="I38" s="811"/>
      <c r="J38" s="811"/>
      <c r="K38" s="811"/>
      <c r="L38" s="811"/>
      <c r="M38" s="811"/>
      <c r="N38" s="811"/>
      <c r="O38" s="811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A39" s="811"/>
      <c r="B39" s="812"/>
      <c r="C39" s="835"/>
      <c r="D39" s="836"/>
      <c r="E39" s="1299"/>
      <c r="F39" s="1298"/>
      <c r="G39" s="812"/>
      <c r="H39" s="811"/>
      <c r="I39" s="811"/>
      <c r="J39" s="811"/>
      <c r="K39" s="811"/>
      <c r="L39" s="811"/>
      <c r="M39" s="811"/>
      <c r="N39" s="811"/>
      <c r="O39" s="811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A40" s="811"/>
      <c r="B40" s="812"/>
      <c r="C40" s="835"/>
      <c r="D40" s="836"/>
      <c r="E40" s="1299"/>
      <c r="F40" s="1298"/>
      <c r="G40" s="812"/>
      <c r="H40" s="811"/>
      <c r="I40" s="811"/>
      <c r="J40" s="811"/>
      <c r="K40" s="811"/>
      <c r="L40" s="811"/>
      <c r="M40" s="811"/>
      <c r="N40" s="811"/>
      <c r="O40" s="811"/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A41" s="811"/>
      <c r="B41" s="812"/>
      <c r="C41" s="835"/>
      <c r="D41" s="836"/>
      <c r="E41" s="1299"/>
      <c r="F41" s="1298"/>
      <c r="G41" s="812"/>
      <c r="H41" s="811"/>
      <c r="I41" s="811"/>
      <c r="J41" s="811"/>
      <c r="K41" s="811"/>
      <c r="L41" s="811"/>
      <c r="M41" s="811"/>
      <c r="N41" s="811"/>
      <c r="O41" s="811"/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A42" s="811"/>
      <c r="B42" s="812"/>
      <c r="C42" s="835"/>
      <c r="D42" s="836"/>
      <c r="E42" s="1299"/>
      <c r="F42" s="1298"/>
      <c r="G42" s="812"/>
      <c r="H42" s="811"/>
      <c r="I42" s="811"/>
      <c r="J42" s="811"/>
      <c r="K42" s="811"/>
      <c r="L42" s="811"/>
      <c r="M42" s="811"/>
      <c r="N42" s="811"/>
      <c r="O42" s="811"/>
      <c r="P42" s="79" t="s">
        <v>192</v>
      </c>
      <c r="Q42" s="78"/>
      <c r="R42" s="78"/>
      <c r="S42" s="78"/>
      <c r="T42" s="78"/>
    </row>
    <row r="43" customFormat="false" ht="14.25" hidden="false" customHeight="false" outlineLevel="0" collapsed="false">
      <c r="A43" s="811"/>
      <c r="B43" s="812"/>
      <c r="C43" s="835"/>
      <c r="D43" s="836"/>
      <c r="E43" s="1299"/>
      <c r="F43" s="1298"/>
      <c r="G43" s="812"/>
      <c r="H43" s="811"/>
      <c r="I43" s="811"/>
      <c r="J43" s="811"/>
      <c r="K43" s="811"/>
      <c r="L43" s="811"/>
      <c r="M43" s="811"/>
      <c r="N43" s="811"/>
      <c r="O43" s="811"/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A44" s="811"/>
      <c r="B44" s="812"/>
      <c r="C44" s="835"/>
      <c r="D44" s="839"/>
      <c r="E44" s="1299"/>
      <c r="F44" s="1298"/>
      <c r="G44" s="812"/>
      <c r="H44" s="811"/>
      <c r="I44" s="811"/>
      <c r="J44" s="811"/>
      <c r="K44" s="811"/>
      <c r="L44" s="811"/>
      <c r="M44" s="811"/>
      <c r="N44" s="811"/>
      <c r="O44" s="811"/>
      <c r="P44" s="78"/>
      <c r="Q44" s="78"/>
      <c r="R44" s="78"/>
      <c r="S44" s="78"/>
      <c r="T44" s="78"/>
    </row>
    <row r="45" customFormat="false" ht="14.25" hidden="false" customHeight="false" outlineLevel="0" collapsed="false">
      <c r="A45" s="811"/>
      <c r="B45" s="812"/>
      <c r="C45" s="835"/>
      <c r="D45" s="836"/>
      <c r="E45" s="1299"/>
      <c r="F45" s="1298"/>
      <c r="G45" s="812"/>
      <c r="H45" s="811"/>
      <c r="I45" s="811"/>
      <c r="J45" s="811"/>
      <c r="K45" s="811"/>
      <c r="L45" s="811"/>
      <c r="M45" s="811"/>
      <c r="N45" s="811"/>
      <c r="O45" s="811"/>
      <c r="P45" s="78"/>
      <c r="Q45" s="78"/>
      <c r="R45" s="78"/>
      <c r="S45" s="78"/>
      <c r="T45" s="78"/>
    </row>
    <row r="46" customFormat="false" ht="14.25" hidden="false" customHeight="false" outlineLevel="0" collapsed="false">
      <c r="A46" s="811"/>
      <c r="B46" s="812"/>
      <c r="C46" s="835"/>
      <c r="D46" s="836"/>
      <c r="E46" s="1299"/>
      <c r="F46" s="1298"/>
      <c r="G46" s="812"/>
      <c r="H46" s="811"/>
      <c r="I46" s="811"/>
      <c r="J46" s="811"/>
      <c r="K46" s="811"/>
      <c r="L46" s="811"/>
      <c r="M46" s="811"/>
      <c r="N46" s="811"/>
      <c r="O46" s="811"/>
      <c r="Q46" s="78"/>
      <c r="R46" s="78"/>
      <c r="S46" s="78"/>
      <c r="T46" s="78"/>
    </row>
    <row r="47" customFormat="false" ht="14.25" hidden="false" customHeight="false" outlineLevel="0" collapsed="false">
      <c r="A47" s="811"/>
      <c r="B47" s="812"/>
      <c r="C47" s="835"/>
      <c r="D47" s="836"/>
      <c r="E47" s="1299"/>
      <c r="F47" s="1298"/>
      <c r="G47" s="812"/>
      <c r="H47" s="811"/>
      <c r="I47" s="811"/>
      <c r="J47" s="811"/>
      <c r="K47" s="811"/>
      <c r="L47" s="811"/>
      <c r="M47" s="811"/>
      <c r="N47" s="811"/>
      <c r="O47" s="811"/>
      <c r="Q47" s="78"/>
      <c r="R47" s="78"/>
      <c r="S47" s="78"/>
      <c r="T47" s="78"/>
    </row>
    <row r="48" customFormat="false" ht="14.25" hidden="false" customHeight="false" outlineLevel="0" collapsed="false">
      <c r="A48" s="811"/>
      <c r="B48" s="812"/>
      <c r="C48" s="835"/>
      <c r="D48" s="836"/>
      <c r="E48" s="1299"/>
      <c r="F48" s="1298"/>
      <c r="G48" s="812"/>
      <c r="H48" s="811"/>
      <c r="I48" s="811"/>
      <c r="J48" s="811"/>
      <c r="K48" s="811"/>
      <c r="L48" s="811"/>
      <c r="M48" s="811"/>
      <c r="N48" s="811"/>
      <c r="O48" s="811"/>
      <c r="S48" s="78"/>
    </row>
    <row r="49" customFormat="false" ht="14.25" hidden="false" customHeight="false" outlineLevel="0" collapsed="false">
      <c r="A49" s="811"/>
      <c r="B49" s="812"/>
      <c r="C49" s="835"/>
      <c r="D49" s="836"/>
      <c r="E49" s="1299"/>
      <c r="F49" s="1298"/>
      <c r="G49" s="812"/>
      <c r="H49" s="811"/>
      <c r="I49" s="811"/>
      <c r="J49" s="811"/>
      <c r="K49" s="811"/>
      <c r="L49" s="811"/>
      <c r="M49" s="811"/>
      <c r="N49" s="811"/>
      <c r="O49" s="811"/>
      <c r="S49" s="78"/>
    </row>
    <row r="50" customFormat="false" ht="14.25" hidden="false" customHeight="false" outlineLevel="0" collapsed="false">
      <c r="A50" s="811"/>
      <c r="B50" s="812"/>
      <c r="C50" s="835"/>
      <c r="D50" s="836"/>
      <c r="E50" s="1297"/>
      <c r="F50" s="1298"/>
      <c r="G50" s="812"/>
      <c r="H50" s="811"/>
      <c r="I50" s="811"/>
      <c r="J50" s="811"/>
      <c r="K50" s="811"/>
      <c r="L50" s="811"/>
      <c r="M50" s="811"/>
      <c r="N50" s="811"/>
      <c r="O50" s="811"/>
    </row>
    <row r="51" customFormat="false" ht="14.25" hidden="false" customHeight="false" outlineLevel="0" collapsed="false">
      <c r="A51" s="811"/>
      <c r="B51" s="812"/>
      <c r="C51" s="835"/>
      <c r="D51" s="836"/>
      <c r="E51" s="1297"/>
      <c r="F51" s="1298"/>
      <c r="G51" s="812"/>
      <c r="H51" s="811"/>
      <c r="I51" s="811"/>
      <c r="J51" s="811"/>
      <c r="K51" s="811"/>
      <c r="L51" s="811"/>
      <c r="M51" s="811"/>
      <c r="N51" s="811"/>
      <c r="O51" s="811"/>
    </row>
    <row r="52" customFormat="false" ht="14.25" hidden="false" customHeight="false" outlineLevel="0" collapsed="false">
      <c r="A52" s="811"/>
      <c r="B52" s="812"/>
      <c r="C52" s="835"/>
      <c r="D52" s="836"/>
      <c r="E52" s="1297"/>
      <c r="F52" s="1298"/>
      <c r="G52" s="812"/>
      <c r="H52" s="811"/>
      <c r="I52" s="811"/>
      <c r="J52" s="811"/>
      <c r="K52" s="811"/>
      <c r="L52" s="811"/>
      <c r="M52" s="811"/>
      <c r="N52" s="811"/>
      <c r="O52" s="811"/>
    </row>
    <row r="53" customFormat="false" ht="14.25" hidden="false" customHeight="false" outlineLevel="0" collapsed="false">
      <c r="A53" s="811"/>
      <c r="B53" s="812"/>
      <c r="C53" s="831"/>
      <c r="D53" s="836"/>
      <c r="E53" s="1297"/>
      <c r="F53" s="1298"/>
      <c r="G53" s="812"/>
      <c r="H53" s="811"/>
      <c r="I53" s="811"/>
      <c r="J53" s="811"/>
      <c r="K53" s="811"/>
      <c r="L53" s="811"/>
      <c r="M53" s="811"/>
      <c r="N53" s="811"/>
      <c r="O53" s="811"/>
    </row>
    <row r="54" customFormat="false" ht="14.25" hidden="false" customHeight="false" outlineLevel="0" collapsed="false">
      <c r="A54" s="811"/>
      <c r="B54" s="812"/>
      <c r="C54" s="835"/>
      <c r="D54" s="836"/>
      <c r="E54" s="1297"/>
      <c r="F54" s="1298"/>
      <c r="G54" s="812"/>
      <c r="H54" s="811"/>
      <c r="I54" s="811"/>
      <c r="J54" s="811"/>
      <c r="K54" s="811"/>
      <c r="L54" s="811"/>
      <c r="M54" s="811"/>
      <c r="N54" s="811"/>
      <c r="O54" s="811"/>
    </row>
    <row r="55" customFormat="false" ht="14.25" hidden="false" customHeight="false" outlineLevel="0" collapsed="false">
      <c r="A55" s="811"/>
      <c r="B55" s="812"/>
      <c r="C55" s="1300"/>
      <c r="D55" s="1301"/>
      <c r="E55" s="1302" t="s">
        <v>213</v>
      </c>
      <c r="F55" s="1303" t="n">
        <f aca="false">SUM(F11:F54)</f>
        <v>0</v>
      </c>
      <c r="G55" s="812"/>
      <c r="H55" s="811"/>
      <c r="I55" s="811"/>
      <c r="J55" s="811"/>
      <c r="K55" s="811"/>
      <c r="L55" s="811"/>
      <c r="M55" s="811"/>
      <c r="N55" s="811"/>
      <c r="O55" s="811"/>
    </row>
    <row r="56" customFormat="false" ht="14.25" hidden="false" customHeight="false" outlineLevel="0" collapsed="false">
      <c r="A56" s="811"/>
      <c r="B56" s="812"/>
      <c r="C56" s="850" t="s">
        <v>926</v>
      </c>
      <c r="D56" s="850"/>
      <c r="E56" s="850"/>
      <c r="F56" s="850"/>
      <c r="G56" s="812"/>
      <c r="H56" s="811"/>
      <c r="I56" s="811"/>
      <c r="J56" s="811"/>
      <c r="K56" s="811"/>
      <c r="L56" s="811"/>
      <c r="M56" s="811"/>
      <c r="N56" s="811"/>
      <c r="O56" s="811"/>
    </row>
    <row r="57" customFormat="false" ht="14.25" hidden="false" customHeight="false" outlineLevel="0" collapsed="false">
      <c r="A57" s="811"/>
      <c r="B57" s="811"/>
      <c r="C57" s="811"/>
      <c r="D57" s="811"/>
      <c r="E57" s="811"/>
      <c r="F57" s="811"/>
      <c r="G57" s="811"/>
      <c r="H57" s="811"/>
      <c r="I57" s="811"/>
      <c r="J57" s="811"/>
      <c r="K57" s="811"/>
      <c r="L57" s="811"/>
      <c r="M57" s="811"/>
      <c r="N57" s="811"/>
      <c r="O57" s="811"/>
    </row>
    <row r="58" customFormat="false" ht="14.25" hidden="false" customHeight="false" outlineLevel="0" collapsed="false">
      <c r="A58" s="811"/>
      <c r="B58" s="811"/>
      <c r="C58" s="811"/>
      <c r="D58" s="811"/>
      <c r="E58" s="811"/>
      <c r="F58" s="811"/>
      <c r="G58" s="811"/>
      <c r="H58" s="811"/>
      <c r="I58" s="811"/>
      <c r="J58" s="811"/>
      <c r="K58" s="811"/>
      <c r="L58" s="811"/>
      <c r="M58" s="811"/>
      <c r="N58" s="811"/>
      <c r="O58" s="811"/>
    </row>
    <row r="59" customFormat="false" ht="14.25" hidden="false" customHeight="false" outlineLevel="0" collapsed="false">
      <c r="A59" s="811"/>
      <c r="B59" s="811"/>
      <c r="C59" s="811"/>
      <c r="D59" s="811"/>
      <c r="E59" s="811"/>
      <c r="F59" s="811"/>
      <c r="G59" s="811"/>
      <c r="H59" s="811"/>
      <c r="I59" s="811"/>
      <c r="J59" s="811"/>
      <c r="K59" s="811"/>
      <c r="L59" s="811"/>
      <c r="M59" s="811"/>
      <c r="N59" s="811"/>
      <c r="O59" s="811"/>
    </row>
    <row r="60" customFormat="false" ht="14.25" hidden="false" customHeight="false" outlineLevel="0" collapsed="false">
      <c r="A60" s="811"/>
      <c r="B60" s="811"/>
      <c r="C60" s="811"/>
      <c r="D60" s="811"/>
      <c r="E60" s="811"/>
      <c r="F60" s="811"/>
      <c r="G60" s="811"/>
      <c r="H60" s="811"/>
      <c r="I60" s="811"/>
      <c r="J60" s="811"/>
      <c r="K60" s="811"/>
      <c r="L60" s="811"/>
      <c r="M60" s="811"/>
      <c r="N60" s="811"/>
      <c r="O60" s="811"/>
    </row>
    <row r="61" customFormat="false" ht="14.25" hidden="false" customHeight="false" outlineLevel="0" collapsed="false">
      <c r="A61" s="811"/>
      <c r="B61" s="811"/>
      <c r="C61" s="811"/>
      <c r="D61" s="811"/>
      <c r="E61" s="811"/>
      <c r="F61" s="811"/>
      <c r="G61" s="811"/>
      <c r="H61" s="811"/>
      <c r="I61" s="811"/>
      <c r="J61" s="811"/>
      <c r="K61" s="811"/>
      <c r="L61" s="811"/>
      <c r="M61" s="811"/>
      <c r="N61" s="811"/>
      <c r="O61" s="811"/>
    </row>
    <row r="62" customFormat="false" ht="14.25" hidden="false" customHeight="false" outlineLevel="0" collapsed="false">
      <c r="A62" s="811"/>
      <c r="B62" s="811"/>
      <c r="C62" s="811"/>
      <c r="D62" s="811"/>
      <c r="E62" s="811"/>
      <c r="F62" s="811"/>
      <c r="G62" s="811"/>
      <c r="H62" s="811"/>
      <c r="I62" s="811"/>
      <c r="J62" s="811"/>
      <c r="K62" s="811"/>
      <c r="L62" s="811"/>
      <c r="M62" s="811"/>
      <c r="N62" s="811"/>
      <c r="O62" s="811"/>
    </row>
    <row r="63" customFormat="false" ht="14.25" hidden="false" customHeight="false" outlineLevel="0" collapsed="false">
      <c r="A63" s="811"/>
      <c r="B63" s="811"/>
      <c r="C63" s="811"/>
      <c r="D63" s="811"/>
      <c r="E63" s="811"/>
      <c r="F63" s="811"/>
      <c r="G63" s="811"/>
      <c r="H63" s="811"/>
      <c r="I63" s="811"/>
      <c r="J63" s="811"/>
      <c r="K63" s="811"/>
      <c r="L63" s="811"/>
      <c r="M63" s="811"/>
      <c r="N63" s="811"/>
      <c r="O63" s="811"/>
    </row>
    <row r="64" customFormat="false" ht="14.25" hidden="false" customHeight="false" outlineLevel="0" collapsed="false">
      <c r="A64" s="811"/>
      <c r="B64" s="811"/>
      <c r="C64" s="811"/>
      <c r="D64" s="811"/>
      <c r="E64" s="811"/>
      <c r="F64" s="811"/>
      <c r="G64" s="811"/>
      <c r="H64" s="811"/>
      <c r="I64" s="811"/>
      <c r="J64" s="811"/>
      <c r="K64" s="811"/>
      <c r="L64" s="811"/>
      <c r="M64" s="811"/>
      <c r="N64" s="811"/>
      <c r="O64" s="811"/>
    </row>
    <row r="65" customFormat="false" ht="14.25" hidden="false" customHeight="false" outlineLevel="0" collapsed="false">
      <c r="A65" s="811"/>
      <c r="B65" s="811"/>
      <c r="C65" s="811"/>
      <c r="D65" s="811"/>
      <c r="E65" s="811"/>
      <c r="F65" s="811"/>
      <c r="G65" s="811"/>
      <c r="H65" s="811"/>
      <c r="I65" s="811"/>
      <c r="J65" s="811"/>
      <c r="K65" s="811"/>
      <c r="L65" s="811"/>
      <c r="M65" s="811"/>
      <c r="N65" s="811"/>
      <c r="O65" s="811"/>
    </row>
    <row r="66" customFormat="false" ht="14.25" hidden="false" customHeight="false" outlineLevel="0" collapsed="false">
      <c r="A66" s="811"/>
      <c r="B66" s="811"/>
      <c r="C66" s="811"/>
      <c r="D66" s="811"/>
      <c r="E66" s="811"/>
      <c r="F66" s="811"/>
      <c r="G66" s="811"/>
      <c r="H66" s="811"/>
      <c r="I66" s="811"/>
      <c r="J66" s="811"/>
      <c r="K66" s="811"/>
      <c r="L66" s="811"/>
      <c r="M66" s="811"/>
      <c r="N66" s="811"/>
      <c r="O66" s="811"/>
    </row>
    <row r="67" customFormat="false" ht="14.25" hidden="false" customHeight="false" outlineLevel="0" collapsed="false">
      <c r="A67" s="811"/>
      <c r="B67" s="811"/>
      <c r="C67" s="811"/>
      <c r="D67" s="811"/>
      <c r="E67" s="811"/>
      <c r="F67" s="811"/>
      <c r="G67" s="811"/>
      <c r="H67" s="811"/>
      <c r="I67" s="811"/>
      <c r="J67" s="811"/>
      <c r="K67" s="811"/>
      <c r="L67" s="811"/>
      <c r="M67" s="811"/>
      <c r="N67" s="811"/>
      <c r="O67" s="811"/>
    </row>
    <row r="68" customFormat="false" ht="14.25" hidden="false" customHeight="false" outlineLevel="0" collapsed="false">
      <c r="A68" s="811"/>
      <c r="B68" s="811"/>
      <c r="C68" s="811"/>
      <c r="D68" s="811"/>
      <c r="E68" s="811"/>
      <c r="F68" s="811"/>
      <c r="G68" s="811"/>
      <c r="H68" s="811"/>
      <c r="I68" s="811"/>
      <c r="J68" s="811"/>
      <c r="K68" s="811"/>
      <c r="L68" s="811"/>
      <c r="M68" s="811"/>
      <c r="N68" s="811"/>
      <c r="O68" s="811"/>
    </row>
    <row r="69" customFormat="false" ht="14.25" hidden="false" customHeight="false" outlineLevel="0" collapsed="false">
      <c r="A69" s="811"/>
      <c r="B69" s="811"/>
      <c r="C69" s="811"/>
      <c r="D69" s="811"/>
      <c r="E69" s="811"/>
      <c r="F69" s="811"/>
      <c r="G69" s="811"/>
      <c r="H69" s="811"/>
      <c r="I69" s="811"/>
      <c r="J69" s="811"/>
      <c r="K69" s="811"/>
      <c r="L69" s="811"/>
      <c r="M69" s="811"/>
      <c r="N69" s="811"/>
      <c r="O69" s="811"/>
    </row>
    <row r="70" customFormat="false" ht="14.25" hidden="false" customHeight="false" outlineLevel="0" collapsed="false">
      <c r="A70" s="811"/>
      <c r="B70" s="811"/>
      <c r="C70" s="811"/>
      <c r="D70" s="811"/>
      <c r="E70" s="811"/>
      <c r="F70" s="811"/>
      <c r="G70" s="811"/>
      <c r="H70" s="811"/>
      <c r="I70" s="811"/>
      <c r="J70" s="811"/>
      <c r="K70" s="811"/>
      <c r="L70" s="811"/>
      <c r="M70" s="811"/>
      <c r="N70" s="811"/>
      <c r="O70" s="811"/>
    </row>
    <row r="71" customFormat="false" ht="14.25" hidden="false" customHeight="false" outlineLevel="0" collapsed="false">
      <c r="A71" s="811"/>
      <c r="B71" s="811"/>
      <c r="C71" s="811"/>
      <c r="D71" s="811"/>
      <c r="E71" s="811"/>
      <c r="F71" s="811"/>
      <c r="G71" s="811"/>
      <c r="H71" s="811"/>
      <c r="I71" s="811"/>
      <c r="J71" s="811"/>
      <c r="K71" s="811"/>
      <c r="L71" s="811"/>
      <c r="M71" s="811"/>
      <c r="N71" s="811"/>
      <c r="O71" s="811"/>
    </row>
    <row r="72" customFormat="false" ht="14.25" hidden="false" customHeight="false" outlineLevel="0" collapsed="false">
      <c r="A72" s="811"/>
      <c r="B72" s="811"/>
      <c r="C72" s="811"/>
      <c r="D72" s="811"/>
      <c r="E72" s="811"/>
      <c r="F72" s="811"/>
      <c r="G72" s="811"/>
      <c r="H72" s="811"/>
      <c r="I72" s="811"/>
      <c r="J72" s="811"/>
      <c r="K72" s="811"/>
      <c r="L72" s="811"/>
      <c r="M72" s="811"/>
      <c r="N72" s="811"/>
      <c r="O72" s="811"/>
    </row>
    <row r="73" customFormat="false" ht="14.25" hidden="false" customHeight="false" outlineLevel="0" collapsed="false">
      <c r="A73" s="811"/>
      <c r="B73" s="811"/>
      <c r="C73" s="811"/>
      <c r="D73" s="811"/>
      <c r="E73" s="811"/>
      <c r="F73" s="811"/>
      <c r="G73" s="811"/>
      <c r="H73" s="811"/>
      <c r="I73" s="811"/>
      <c r="J73" s="811"/>
      <c r="K73" s="811"/>
      <c r="L73" s="811"/>
      <c r="M73" s="811"/>
      <c r="N73" s="811"/>
      <c r="O73" s="811"/>
    </row>
  </sheetData>
  <sheetProtection algorithmName="SHA-512" hashValue="04VV4DiFzyJmi+Rx3cVggf93hZZeLrtb2yP21KfZEwJrfZtZ4gHNovjSaxshYUa9f9VcCAbwCtMkPB+lf55Npw==" saltValue="0M4BKIAQzGjlSclICR8+SQ==" spinCount="100000" sheet="true" objects="true" scenarios="true"/>
  <mergeCells count="5">
    <mergeCell ref="C3:F3"/>
    <mergeCell ref="C4:F4"/>
    <mergeCell ref="C6:F6"/>
    <mergeCell ref="C8:F8"/>
    <mergeCell ref="C56:F56"/>
  </mergeCells>
  <conditionalFormatting sqref="C11:C54">
    <cfRule type="expression" priority="2" aboveAverage="0" equalAverage="0" bottom="0" percent="0" rank="0" text="" dxfId="63">
      <formula>SEARCH("ACCEPS",C11)</formula>
    </cfRule>
  </conditionalFormatting>
  <dataValidations count="2">
    <dataValidation allowBlank="true" error="Enter a dollar amount greater than zero." errorStyle="stop" operator="greaterThanOrEqual" showDropDown="false" showErrorMessage="true" showInputMessage="true" sqref="F11:F54" type="decimal">
      <formula1>0</formula1>
      <formula2>0</formula2>
    </dataValidation>
    <dataValidation allowBlank="true" error="Enter a date." errorStyle="stop" operator="greaterThan" showDropDown="false" showErrorMessage="true" showInputMessage="true" sqref="E11:E54" type="date">
      <formula1>36526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93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5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5" activeCellId="0" sqref="P5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61.62"/>
    <col collapsed="false" customWidth="true" hidden="false" outlineLevel="0" max="4" min="4" style="1" width="11.62"/>
    <col collapsed="false" customWidth="true" hidden="false" outlineLevel="0" max="5" min="5" style="1" width="15.62"/>
    <col collapsed="false" customWidth="true" hidden="false" outlineLevel="0" max="6" min="6" style="1" width="17.62"/>
    <col collapsed="false" customWidth="true" hidden="false" outlineLevel="0" max="8" min="7" style="1" width="3.62"/>
    <col collapsed="false" customWidth="true" hidden="true" outlineLevel="0" max="15" min="9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851"/>
      <c r="B1" s="1304"/>
      <c r="C1" s="1304"/>
      <c r="D1" s="1304"/>
      <c r="E1" s="1304"/>
      <c r="F1" s="1304"/>
      <c r="G1" s="1304"/>
      <c r="H1" s="1304"/>
      <c r="I1" s="1304"/>
      <c r="J1" s="1304"/>
      <c r="K1" s="1304"/>
      <c r="L1" s="1304"/>
      <c r="M1" s="1304"/>
      <c r="N1" s="1304"/>
      <c r="O1" s="1304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1304"/>
      <c r="B2" s="853"/>
      <c r="C2" s="81" t="str">
        <f aca="false">Contents!B59</f>
        <v>Version: AS L 6 LARGE locked LOCAL</v>
      </c>
      <c r="D2" s="1293"/>
      <c r="E2" s="820"/>
      <c r="F2" s="820"/>
      <c r="G2" s="853"/>
      <c r="H2" s="1304"/>
      <c r="I2" s="1304"/>
      <c r="J2" s="1304"/>
      <c r="K2" s="1304"/>
      <c r="L2" s="1304"/>
      <c r="M2" s="1304"/>
      <c r="N2" s="1304"/>
      <c r="O2" s="1304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854"/>
      <c r="B3" s="855"/>
      <c r="C3" s="816" t="str">
        <f aca="false">Contents!$E$3</f>
        <v>THE SOCIETY FOR CREATIVE ANACHRONISM, INC.</v>
      </c>
      <c r="D3" s="816"/>
      <c r="E3" s="816"/>
      <c r="F3" s="816"/>
      <c r="G3" s="857"/>
      <c r="H3" s="854"/>
      <c r="I3" s="854"/>
      <c r="J3" s="854"/>
      <c r="K3" s="854"/>
      <c r="L3" s="854"/>
      <c r="M3" s="854"/>
      <c r="N3" s="854"/>
      <c r="O3" s="85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1304"/>
      <c r="B4" s="855"/>
      <c r="C4" s="816" t="str">
        <f aca="false">Contents!$E$4</f>
        <v>FINANCIAL REPORT</v>
      </c>
      <c r="D4" s="816"/>
      <c r="E4" s="816"/>
      <c r="F4" s="816"/>
      <c r="G4" s="857"/>
      <c r="H4" s="1304"/>
      <c r="I4" s="1304"/>
      <c r="J4" s="1304"/>
      <c r="K4" s="1304"/>
      <c r="L4" s="1304"/>
      <c r="M4" s="1304"/>
      <c r="N4" s="1304"/>
      <c r="O4" s="1304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1304"/>
      <c r="B5" s="853"/>
      <c r="C5" s="853"/>
      <c r="D5" s="853"/>
      <c r="E5" s="853"/>
      <c r="F5" s="853"/>
      <c r="G5" s="853"/>
      <c r="H5" s="1304"/>
      <c r="I5" s="1304"/>
      <c r="J5" s="1304"/>
      <c r="K5" s="1304"/>
      <c r="L5" s="1304"/>
      <c r="M5" s="1304"/>
      <c r="N5" s="1304"/>
      <c r="O5" s="1304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1304"/>
      <c r="B6" s="853"/>
      <c r="C6" s="819" t="str">
        <f aca="false">Contents!B58</f>
        <v>Branch:   SCA, Inc.- Middle Kingdom                                               Period:  1/01/2025             to     12/31/2025            .</v>
      </c>
      <c r="D6" s="819"/>
      <c r="E6" s="819"/>
      <c r="F6" s="819"/>
      <c r="G6" s="853"/>
      <c r="H6" s="1304"/>
      <c r="I6" s="1304"/>
      <c r="J6" s="1304"/>
      <c r="K6" s="1304"/>
      <c r="L6" s="1304"/>
      <c r="M6" s="1304"/>
      <c r="N6" s="1304"/>
      <c r="O6" s="1304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1304"/>
      <c r="B7" s="853"/>
      <c r="C7" s="853"/>
      <c r="D7" s="853"/>
      <c r="E7" s="853"/>
      <c r="F7" s="853"/>
      <c r="G7" s="853"/>
      <c r="H7" s="1304"/>
      <c r="I7" s="1304"/>
      <c r="J7" s="1304"/>
      <c r="K7" s="1304"/>
      <c r="L7" s="1304"/>
      <c r="M7" s="1304"/>
      <c r="N7" s="1304"/>
      <c r="O7" s="1304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875"/>
      <c r="B8" s="853"/>
      <c r="C8" s="859" t="s">
        <v>927</v>
      </c>
      <c r="D8" s="859"/>
      <c r="E8" s="859"/>
      <c r="F8" s="859"/>
      <c r="G8" s="909"/>
      <c r="H8" s="875"/>
      <c r="I8" s="875"/>
      <c r="J8" s="875"/>
      <c r="K8" s="875"/>
      <c r="L8" s="875"/>
      <c r="M8" s="875"/>
      <c r="N8" s="875"/>
      <c r="O8" s="875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1304"/>
      <c r="B9" s="882"/>
      <c r="C9" s="860" t="s">
        <v>636</v>
      </c>
      <c r="D9" s="882"/>
      <c r="E9" s="882"/>
      <c r="F9" s="882"/>
      <c r="G9" s="882"/>
      <c r="H9" s="1304"/>
      <c r="I9" s="1304"/>
      <c r="J9" s="1304"/>
      <c r="K9" s="1304"/>
      <c r="L9" s="1304"/>
      <c r="M9" s="1304"/>
      <c r="N9" s="1304"/>
      <c r="O9" s="1304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5" hidden="false" customHeight="false" outlineLevel="0" collapsed="false">
      <c r="A10" s="1304"/>
      <c r="B10" s="853"/>
      <c r="C10" s="861" t="s">
        <v>637</v>
      </c>
      <c r="D10" s="862" t="s">
        <v>588</v>
      </c>
      <c r="E10" s="862" t="s">
        <v>589</v>
      </c>
      <c r="F10" s="864" t="s">
        <v>416</v>
      </c>
      <c r="G10" s="881"/>
      <c r="H10" s="1304"/>
      <c r="I10" s="1304"/>
      <c r="J10" s="1304"/>
      <c r="K10" s="1304"/>
      <c r="L10" s="1304"/>
      <c r="M10" s="1304"/>
      <c r="N10" s="1304"/>
      <c r="O10" s="1304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false" outlineLevel="0" collapsed="false">
      <c r="A11" s="1304"/>
      <c r="B11" s="853"/>
      <c r="C11" s="1305"/>
      <c r="D11" s="866"/>
      <c r="E11" s="867"/>
      <c r="F11" s="1306"/>
      <c r="G11" s="869"/>
      <c r="H11" s="1304"/>
      <c r="I11" s="1304"/>
      <c r="J11" s="1304"/>
      <c r="K11" s="1304"/>
      <c r="L11" s="1304"/>
      <c r="M11" s="1304"/>
      <c r="N11" s="1304"/>
      <c r="O11" s="1304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false" outlineLevel="0" collapsed="false">
      <c r="A12" s="1304"/>
      <c r="B12" s="853"/>
      <c r="C12" s="1305"/>
      <c r="D12" s="871"/>
      <c r="E12" s="872"/>
      <c r="F12" s="1307"/>
      <c r="G12" s="869"/>
      <c r="H12" s="1304"/>
      <c r="I12" s="1304"/>
      <c r="J12" s="1304"/>
      <c r="K12" s="1304"/>
      <c r="L12" s="1304"/>
      <c r="M12" s="1304"/>
      <c r="N12" s="1304"/>
      <c r="O12" s="1304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false" outlineLevel="0" collapsed="false">
      <c r="A13" s="1304"/>
      <c r="B13" s="853"/>
      <c r="C13" s="1305"/>
      <c r="D13" s="871"/>
      <c r="E13" s="872"/>
      <c r="F13" s="1307"/>
      <c r="G13" s="869"/>
      <c r="H13" s="1304"/>
      <c r="I13" s="1304"/>
      <c r="J13" s="1304"/>
      <c r="K13" s="1304"/>
      <c r="L13" s="1304"/>
      <c r="M13" s="1304"/>
      <c r="N13" s="1304"/>
      <c r="O13" s="1304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false" outlineLevel="0" collapsed="false">
      <c r="A14" s="1304"/>
      <c r="B14" s="853"/>
      <c r="C14" s="1305"/>
      <c r="D14" s="871"/>
      <c r="E14" s="872"/>
      <c r="F14" s="1307"/>
      <c r="G14" s="869"/>
      <c r="H14" s="1304"/>
      <c r="I14" s="1304"/>
      <c r="J14" s="1304"/>
      <c r="K14" s="1304"/>
      <c r="L14" s="1304"/>
      <c r="M14" s="1304"/>
      <c r="N14" s="1304"/>
      <c r="O14" s="1304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1304"/>
      <c r="B15" s="853"/>
      <c r="C15" s="1305"/>
      <c r="D15" s="871"/>
      <c r="E15" s="872"/>
      <c r="F15" s="1307"/>
      <c r="G15" s="869"/>
      <c r="H15" s="1304"/>
      <c r="I15" s="1304"/>
      <c r="J15" s="1304"/>
      <c r="K15" s="1304"/>
      <c r="L15" s="1304"/>
      <c r="M15" s="1304"/>
      <c r="N15" s="1304"/>
      <c r="O15" s="1304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false" outlineLevel="0" collapsed="false">
      <c r="A16" s="1304"/>
      <c r="B16" s="853"/>
      <c r="C16" s="1305"/>
      <c r="D16" s="871"/>
      <c r="E16" s="872"/>
      <c r="F16" s="1307"/>
      <c r="G16" s="869"/>
      <c r="H16" s="1304"/>
      <c r="I16" s="1304"/>
      <c r="J16" s="1304"/>
      <c r="K16" s="1304"/>
      <c r="L16" s="1304"/>
      <c r="M16" s="1304"/>
      <c r="N16" s="1304"/>
      <c r="O16" s="1304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B17" s="853"/>
      <c r="C17" s="1305"/>
      <c r="D17" s="871"/>
      <c r="E17" s="872"/>
      <c r="F17" s="1307"/>
      <c r="G17" s="869"/>
      <c r="H17" s="1304"/>
      <c r="I17" s="1304"/>
      <c r="J17" s="1304"/>
      <c r="K17" s="1304"/>
      <c r="L17" s="1304"/>
      <c r="M17" s="1304"/>
      <c r="N17" s="1304"/>
      <c r="O17" s="1304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B18" s="853"/>
      <c r="C18" s="1305"/>
      <c r="D18" s="871"/>
      <c r="E18" s="872"/>
      <c r="F18" s="1307"/>
      <c r="G18" s="869"/>
      <c r="H18" s="1304"/>
      <c r="I18" s="1304"/>
      <c r="J18" s="1304"/>
      <c r="K18" s="1304"/>
      <c r="L18" s="1304"/>
      <c r="M18" s="1304"/>
      <c r="N18" s="1304"/>
      <c r="O18" s="1304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14.25" hidden="false" customHeight="false" outlineLevel="0" collapsed="false">
      <c r="B19" s="853"/>
      <c r="C19" s="1305"/>
      <c r="D19" s="871"/>
      <c r="E19" s="872"/>
      <c r="F19" s="1307"/>
      <c r="G19" s="869"/>
      <c r="H19" s="1304"/>
      <c r="I19" s="1304"/>
      <c r="J19" s="1304"/>
      <c r="K19" s="1304"/>
      <c r="L19" s="1304"/>
      <c r="M19" s="1304"/>
      <c r="N19" s="1304"/>
      <c r="O19" s="1304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14.25" hidden="false" customHeight="false" outlineLevel="0" collapsed="false">
      <c r="B20" s="853"/>
      <c r="C20" s="1305"/>
      <c r="D20" s="871"/>
      <c r="E20" s="872"/>
      <c r="F20" s="1307"/>
      <c r="G20" s="869"/>
      <c r="H20" s="1304"/>
      <c r="I20" s="1304"/>
      <c r="J20" s="1304"/>
      <c r="K20" s="1304"/>
      <c r="L20" s="1304"/>
      <c r="M20" s="1304"/>
      <c r="N20" s="1304"/>
      <c r="O20" s="1304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14.25" hidden="false" customHeight="false" outlineLevel="0" collapsed="false">
      <c r="B21" s="853"/>
      <c r="C21" s="1305"/>
      <c r="D21" s="871"/>
      <c r="E21" s="872"/>
      <c r="F21" s="1307"/>
      <c r="G21" s="869"/>
      <c r="H21" s="1304"/>
      <c r="I21" s="1304"/>
      <c r="J21" s="1304"/>
      <c r="K21" s="1304"/>
      <c r="L21" s="1304"/>
      <c r="M21" s="1304"/>
      <c r="N21" s="1304"/>
      <c r="O21" s="1304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14.25" hidden="false" customHeight="false" outlineLevel="0" collapsed="false">
      <c r="B22" s="853"/>
      <c r="C22" s="1305"/>
      <c r="D22" s="871"/>
      <c r="E22" s="872"/>
      <c r="F22" s="1307"/>
      <c r="G22" s="869"/>
      <c r="H22" s="1304"/>
      <c r="I22" s="1304"/>
      <c r="J22" s="1304"/>
      <c r="K22" s="1304"/>
      <c r="L22" s="1304"/>
      <c r="M22" s="1304"/>
      <c r="N22" s="1304"/>
      <c r="O22" s="1304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14.25" hidden="false" customHeight="false" outlineLevel="0" collapsed="false">
      <c r="B23" s="853"/>
      <c r="C23" s="1305"/>
      <c r="D23" s="871"/>
      <c r="E23" s="872"/>
      <c r="F23" s="1307"/>
      <c r="G23" s="869"/>
      <c r="H23" s="1304"/>
      <c r="I23" s="1304"/>
      <c r="J23" s="1304"/>
      <c r="K23" s="1304"/>
      <c r="L23" s="1304"/>
      <c r="M23" s="1304"/>
      <c r="N23" s="1304"/>
      <c r="O23" s="1304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4.25" hidden="false" customHeight="false" outlineLevel="0" collapsed="false">
      <c r="B24" s="853"/>
      <c r="C24" s="1305"/>
      <c r="D24" s="871"/>
      <c r="E24" s="872"/>
      <c r="F24" s="1307"/>
      <c r="G24" s="869"/>
      <c r="H24" s="1304"/>
      <c r="I24" s="1304"/>
      <c r="J24" s="1304"/>
      <c r="K24" s="1304"/>
      <c r="L24" s="1304"/>
      <c r="M24" s="1304"/>
      <c r="N24" s="1304"/>
      <c r="O24" s="1304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14.25" hidden="false" customHeight="false" outlineLevel="0" collapsed="false">
      <c r="B25" s="853"/>
      <c r="C25" s="1305"/>
      <c r="D25" s="871"/>
      <c r="E25" s="872"/>
      <c r="F25" s="1307"/>
      <c r="G25" s="869"/>
      <c r="H25" s="874"/>
      <c r="I25" s="874"/>
      <c r="J25" s="874"/>
      <c r="K25" s="874"/>
      <c r="L25" s="874"/>
      <c r="M25" s="874"/>
      <c r="N25" s="874"/>
      <c r="O25" s="874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4.25" hidden="false" customHeight="false" outlineLevel="0" collapsed="false">
      <c r="B26" s="853"/>
      <c r="C26" s="1305"/>
      <c r="D26" s="871"/>
      <c r="E26" s="872"/>
      <c r="F26" s="1307"/>
      <c r="G26" s="869"/>
      <c r="H26" s="852"/>
      <c r="I26" s="852"/>
      <c r="J26" s="852"/>
      <c r="K26" s="852"/>
      <c r="L26" s="852"/>
      <c r="M26" s="852"/>
      <c r="N26" s="852"/>
      <c r="O26" s="852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false" outlineLevel="0" collapsed="false">
      <c r="B27" s="853"/>
      <c r="C27" s="1308"/>
      <c r="D27" s="889"/>
      <c r="E27" s="890"/>
      <c r="F27" s="1309"/>
      <c r="G27" s="869"/>
      <c r="H27" s="1304"/>
      <c r="I27" s="1304"/>
      <c r="J27" s="1304"/>
      <c r="K27" s="1304"/>
      <c r="L27" s="1304"/>
      <c r="M27" s="1304"/>
      <c r="N27" s="1304"/>
      <c r="O27" s="1304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B28" s="853"/>
      <c r="C28" s="876"/>
      <c r="D28" s="877"/>
      <c r="E28" s="878" t="s">
        <v>213</v>
      </c>
      <c r="F28" s="1310" t="n">
        <f aca="false">SUM(F11:F27)</f>
        <v>0</v>
      </c>
      <c r="G28" s="869"/>
      <c r="H28" s="1304"/>
      <c r="I28" s="1304"/>
      <c r="J28" s="1304"/>
      <c r="K28" s="1304"/>
      <c r="L28" s="1304"/>
      <c r="M28" s="1304"/>
      <c r="N28" s="1304"/>
      <c r="O28" s="1304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B29" s="853"/>
      <c r="C29" s="853"/>
      <c r="D29" s="853"/>
      <c r="E29" s="853"/>
      <c r="F29" s="880"/>
      <c r="G29" s="880"/>
      <c r="H29" s="1304"/>
      <c r="I29" s="1304"/>
      <c r="J29" s="1304"/>
      <c r="K29" s="1304"/>
      <c r="L29" s="1304"/>
      <c r="M29" s="1304"/>
      <c r="N29" s="1304"/>
      <c r="O29" s="1304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5" hidden="false" customHeight="false" outlineLevel="0" collapsed="false">
      <c r="B30" s="853"/>
      <c r="C30" s="860" t="s">
        <v>647</v>
      </c>
      <c r="D30" s="881"/>
      <c r="E30" s="881"/>
      <c r="F30" s="1311"/>
      <c r="G30" s="905"/>
      <c r="H30" s="1304"/>
      <c r="I30" s="1304"/>
      <c r="J30" s="1304"/>
      <c r="K30" s="1304"/>
      <c r="L30" s="1304"/>
      <c r="M30" s="1304"/>
      <c r="N30" s="1304"/>
      <c r="O30" s="1304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26.45" hidden="false" customHeight="false" outlineLevel="0" collapsed="false">
      <c r="B31" s="853"/>
      <c r="C31" s="1312" t="s">
        <v>648</v>
      </c>
      <c r="D31" s="862" t="s">
        <v>588</v>
      </c>
      <c r="E31" s="862" t="s">
        <v>589</v>
      </c>
      <c r="F31" s="1313" t="s">
        <v>416</v>
      </c>
      <c r="G31" s="905"/>
      <c r="H31" s="1304"/>
      <c r="I31" s="1304"/>
      <c r="J31" s="1304"/>
      <c r="K31" s="1304"/>
      <c r="L31" s="1304"/>
      <c r="M31" s="1304"/>
      <c r="N31" s="1304"/>
      <c r="O31" s="1304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B32" s="853"/>
      <c r="C32" s="1314" t="s">
        <v>928</v>
      </c>
      <c r="D32" s="889" t="s">
        <v>645</v>
      </c>
      <c r="E32" s="890" t="n">
        <v>45873</v>
      </c>
      <c r="F32" s="1309" t="n">
        <v>473.47</v>
      </c>
      <c r="G32" s="869"/>
      <c r="H32" s="1304"/>
      <c r="I32" s="1304"/>
      <c r="J32" s="1304"/>
      <c r="K32" s="1304"/>
      <c r="L32" s="1304"/>
      <c r="M32" s="1304"/>
      <c r="N32" s="1304"/>
      <c r="O32" s="1304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B33" s="853"/>
      <c r="C33" s="1305" t="s">
        <v>929</v>
      </c>
      <c r="D33" s="871" t="s">
        <v>645</v>
      </c>
      <c r="E33" s="872" t="n">
        <v>45896</v>
      </c>
      <c r="F33" s="1307" t="n">
        <v>1030</v>
      </c>
      <c r="G33" s="869"/>
      <c r="H33" s="1304"/>
      <c r="I33" s="1304"/>
      <c r="J33" s="1304"/>
      <c r="K33" s="1304"/>
      <c r="L33" s="1304"/>
      <c r="M33" s="1304"/>
      <c r="N33" s="1304"/>
      <c r="O33" s="1304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B34" s="853"/>
      <c r="C34" s="1305" t="s">
        <v>930</v>
      </c>
      <c r="D34" s="871" t="s">
        <v>645</v>
      </c>
      <c r="E34" s="872" t="n">
        <v>45925</v>
      </c>
      <c r="F34" s="1307" t="n">
        <v>370</v>
      </c>
      <c r="G34" s="869"/>
      <c r="H34" s="1304"/>
      <c r="I34" s="1304"/>
      <c r="J34" s="1304"/>
      <c r="K34" s="1304"/>
      <c r="L34" s="1304"/>
      <c r="M34" s="1304"/>
      <c r="N34" s="1304"/>
      <c r="O34" s="1304"/>
      <c r="P34" s="79" t="s">
        <v>79</v>
      </c>
      <c r="Q34" s="78"/>
      <c r="R34" s="78"/>
      <c r="S34" s="78"/>
      <c r="T34" s="79" t="s">
        <v>87</v>
      </c>
    </row>
    <row r="35" customFormat="false" ht="14.25" hidden="false" customHeight="false" outlineLevel="0" collapsed="false">
      <c r="B35" s="853"/>
      <c r="C35" s="1305" t="s">
        <v>931</v>
      </c>
      <c r="D35" s="871" t="s">
        <v>645</v>
      </c>
      <c r="E35" s="872" t="n">
        <v>45973</v>
      </c>
      <c r="F35" s="1307" t="n">
        <v>1820</v>
      </c>
      <c r="G35" s="869"/>
      <c r="H35" s="1304"/>
      <c r="I35" s="1304"/>
      <c r="J35" s="1304"/>
      <c r="K35" s="1304"/>
      <c r="L35" s="1304"/>
      <c r="M35" s="1304"/>
      <c r="N35" s="1304"/>
      <c r="O35" s="1304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B36" s="853"/>
      <c r="C36" s="1305" t="s">
        <v>932</v>
      </c>
      <c r="D36" s="871"/>
      <c r="E36" s="872" t="n">
        <v>46009</v>
      </c>
      <c r="F36" s="1307" t="n">
        <v>1790</v>
      </c>
      <c r="G36" s="869"/>
      <c r="H36" s="1304"/>
      <c r="I36" s="1304"/>
      <c r="J36" s="1304"/>
      <c r="K36" s="1304"/>
      <c r="L36" s="1304"/>
      <c r="M36" s="1304"/>
      <c r="N36" s="1304"/>
      <c r="O36" s="1304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B37" s="853"/>
      <c r="C37" s="1305"/>
      <c r="D37" s="871"/>
      <c r="E37" s="872"/>
      <c r="F37" s="1307"/>
      <c r="G37" s="869"/>
      <c r="H37" s="1304"/>
      <c r="I37" s="1304"/>
      <c r="J37" s="1304"/>
      <c r="K37" s="1304"/>
      <c r="L37" s="1304"/>
      <c r="M37" s="1304"/>
      <c r="N37" s="1304"/>
      <c r="O37" s="1304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B38" s="853"/>
      <c r="C38" s="1305"/>
      <c r="D38" s="871"/>
      <c r="E38" s="872"/>
      <c r="F38" s="1307"/>
      <c r="G38" s="869"/>
      <c r="H38" s="1304"/>
      <c r="I38" s="1304"/>
      <c r="J38" s="1304"/>
      <c r="K38" s="1304"/>
      <c r="L38" s="1304"/>
      <c r="M38" s="1304"/>
      <c r="N38" s="1304"/>
      <c r="O38" s="1304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B39" s="853"/>
      <c r="C39" s="1305"/>
      <c r="D39" s="871"/>
      <c r="E39" s="872"/>
      <c r="F39" s="1307"/>
      <c r="G39" s="869"/>
      <c r="H39" s="1304"/>
      <c r="I39" s="1304"/>
      <c r="J39" s="1304"/>
      <c r="K39" s="1304"/>
      <c r="L39" s="1304"/>
      <c r="M39" s="1304"/>
      <c r="N39" s="1304"/>
      <c r="O39" s="1304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B40" s="853"/>
      <c r="C40" s="1305"/>
      <c r="D40" s="871"/>
      <c r="E40" s="872"/>
      <c r="F40" s="1307"/>
      <c r="G40" s="869"/>
      <c r="H40" s="1304"/>
      <c r="I40" s="1304"/>
      <c r="J40" s="1304"/>
      <c r="K40" s="1304"/>
      <c r="L40" s="1304"/>
      <c r="M40" s="1304"/>
      <c r="N40" s="1304"/>
      <c r="O40" s="1304"/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B41" s="853"/>
      <c r="C41" s="1308"/>
      <c r="D41" s="889"/>
      <c r="E41" s="890"/>
      <c r="F41" s="1309"/>
      <c r="G41" s="869"/>
      <c r="H41" s="1304"/>
      <c r="I41" s="1304"/>
      <c r="J41" s="1304"/>
      <c r="K41" s="1304"/>
      <c r="L41" s="1304"/>
      <c r="M41" s="1304"/>
      <c r="N41" s="1304"/>
      <c r="O41" s="1304"/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B42" s="853"/>
      <c r="C42" s="894"/>
      <c r="D42" s="895"/>
      <c r="E42" s="896" t="s">
        <v>658</v>
      </c>
      <c r="F42" s="1315" t="n">
        <f aca="false">SUM(F32:F41)</f>
        <v>5483.47</v>
      </c>
      <c r="G42" s="869"/>
      <c r="H42" s="1304"/>
      <c r="I42" s="1304"/>
      <c r="J42" s="1304"/>
      <c r="K42" s="1304"/>
      <c r="L42" s="1304"/>
      <c r="M42" s="1304"/>
      <c r="N42" s="1304"/>
      <c r="O42" s="1304"/>
      <c r="P42" s="79" t="s">
        <v>192</v>
      </c>
      <c r="Q42" s="78"/>
      <c r="R42" s="78"/>
      <c r="S42" s="78"/>
      <c r="T42" s="78"/>
    </row>
    <row r="43" customFormat="false" ht="26.45" hidden="false" customHeight="false" outlineLevel="0" collapsed="false">
      <c r="B43" s="853"/>
      <c r="C43" s="898" t="s">
        <v>659</v>
      </c>
      <c r="D43" s="899" t="s">
        <v>588</v>
      </c>
      <c r="E43" s="899" t="s">
        <v>589</v>
      </c>
      <c r="F43" s="1316" t="s">
        <v>416</v>
      </c>
      <c r="G43" s="905"/>
      <c r="H43" s="1304"/>
      <c r="I43" s="1304"/>
      <c r="J43" s="1304"/>
      <c r="K43" s="1304"/>
      <c r="L43" s="1304"/>
      <c r="M43" s="1304"/>
      <c r="N43" s="1304"/>
      <c r="O43" s="1304"/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B44" s="853"/>
      <c r="C44" s="1314"/>
      <c r="D44" s="889"/>
      <c r="E44" s="890"/>
      <c r="F44" s="1309"/>
      <c r="G44" s="869"/>
      <c r="H44" s="1304"/>
      <c r="I44" s="1304"/>
      <c r="J44" s="1304"/>
      <c r="K44" s="1304"/>
      <c r="L44" s="1304"/>
      <c r="M44" s="1304"/>
      <c r="N44" s="1304"/>
      <c r="O44" s="1304"/>
      <c r="P44" s="78"/>
      <c r="Q44" s="78"/>
      <c r="R44" s="78"/>
      <c r="S44" s="78"/>
      <c r="T44" s="78"/>
    </row>
    <row r="45" customFormat="false" ht="14.25" hidden="false" customHeight="false" outlineLevel="0" collapsed="false">
      <c r="B45" s="853"/>
      <c r="C45" s="1305"/>
      <c r="D45" s="871"/>
      <c r="E45" s="872"/>
      <c r="F45" s="1307"/>
      <c r="G45" s="869"/>
      <c r="H45" s="1304"/>
      <c r="I45" s="1304"/>
      <c r="J45" s="1304"/>
      <c r="K45" s="1304"/>
      <c r="L45" s="1304"/>
      <c r="M45" s="1304"/>
      <c r="N45" s="1304"/>
      <c r="O45" s="1304"/>
      <c r="P45" s="78"/>
      <c r="Q45" s="78"/>
      <c r="R45" s="78"/>
      <c r="S45" s="78"/>
      <c r="T45" s="78"/>
    </row>
    <row r="46" customFormat="false" ht="14.25" hidden="false" customHeight="false" outlineLevel="0" collapsed="false">
      <c r="B46" s="853"/>
      <c r="C46" s="1305"/>
      <c r="D46" s="871"/>
      <c r="E46" s="872"/>
      <c r="F46" s="1307"/>
      <c r="G46" s="869"/>
      <c r="H46" s="1304"/>
      <c r="I46" s="1304"/>
      <c r="J46" s="1304"/>
      <c r="K46" s="1304"/>
      <c r="L46" s="1304"/>
      <c r="M46" s="1304"/>
      <c r="N46" s="1304"/>
      <c r="O46" s="1304"/>
      <c r="Q46" s="78"/>
      <c r="R46" s="78"/>
      <c r="S46" s="78"/>
      <c r="T46" s="78"/>
    </row>
    <row r="47" customFormat="false" ht="14.25" hidden="false" customHeight="false" outlineLevel="0" collapsed="false">
      <c r="B47" s="853"/>
      <c r="C47" s="1305"/>
      <c r="D47" s="871"/>
      <c r="E47" s="872"/>
      <c r="F47" s="1307"/>
      <c r="G47" s="869"/>
      <c r="H47" s="1304"/>
      <c r="I47" s="1304"/>
      <c r="J47" s="1304"/>
      <c r="K47" s="1304"/>
      <c r="L47" s="1304"/>
      <c r="M47" s="1304"/>
      <c r="N47" s="1304"/>
      <c r="O47" s="1304"/>
      <c r="Q47" s="78"/>
      <c r="R47" s="78"/>
      <c r="S47" s="78"/>
      <c r="T47" s="78"/>
    </row>
    <row r="48" customFormat="false" ht="14.25" hidden="false" customHeight="false" outlineLevel="0" collapsed="false">
      <c r="B48" s="853"/>
      <c r="C48" s="1314"/>
      <c r="D48" s="889"/>
      <c r="E48" s="890"/>
      <c r="F48" s="1309"/>
      <c r="G48" s="869"/>
      <c r="H48" s="1304"/>
      <c r="I48" s="1304"/>
      <c r="J48" s="1304"/>
      <c r="K48" s="1304"/>
      <c r="L48" s="1304"/>
      <c r="M48" s="1304"/>
      <c r="N48" s="1304"/>
      <c r="O48" s="1304"/>
      <c r="S48" s="78"/>
    </row>
    <row r="49" customFormat="false" ht="14.25" hidden="false" customHeight="false" outlineLevel="0" collapsed="false">
      <c r="B49" s="853"/>
      <c r="C49" s="1305"/>
      <c r="D49" s="871"/>
      <c r="E49" s="872"/>
      <c r="F49" s="1307"/>
      <c r="G49" s="869"/>
      <c r="S49" s="78"/>
    </row>
    <row r="50" customFormat="false" ht="14.25" hidden="false" customHeight="false" outlineLevel="0" collapsed="false">
      <c r="B50" s="853"/>
      <c r="C50" s="1305"/>
      <c r="D50" s="871"/>
      <c r="E50" s="872"/>
      <c r="F50" s="1307"/>
      <c r="G50" s="869"/>
    </row>
    <row r="51" customFormat="false" ht="14.25" hidden="false" customHeight="false" outlineLevel="0" collapsed="false">
      <c r="B51" s="853"/>
      <c r="C51" s="1305"/>
      <c r="D51" s="871"/>
      <c r="E51" s="872"/>
      <c r="F51" s="1307"/>
      <c r="G51" s="869"/>
    </row>
    <row r="52" customFormat="false" ht="14.25" hidden="false" customHeight="false" outlineLevel="0" collapsed="false">
      <c r="B52" s="853"/>
      <c r="C52" s="1305"/>
      <c r="D52" s="871"/>
      <c r="E52" s="872"/>
      <c r="F52" s="1307"/>
      <c r="G52" s="869"/>
    </row>
    <row r="53" customFormat="false" ht="14.25" hidden="false" customHeight="false" outlineLevel="0" collapsed="false">
      <c r="B53" s="853"/>
      <c r="C53" s="1308"/>
      <c r="D53" s="893"/>
      <c r="E53" s="1317"/>
      <c r="F53" s="1318"/>
      <c r="G53" s="869"/>
    </row>
    <row r="54" customFormat="false" ht="14.25" hidden="false" customHeight="false" outlineLevel="0" collapsed="false">
      <c r="B54" s="853"/>
      <c r="C54" s="876"/>
      <c r="D54" s="877"/>
      <c r="E54" s="878" t="s">
        <v>660</v>
      </c>
      <c r="F54" s="1310" t="n">
        <f aca="false">SUM(F44:F53)</f>
        <v>0</v>
      </c>
      <c r="G54" s="869"/>
    </row>
    <row r="55" customFormat="false" ht="14.25" hidden="false" customHeight="false" outlineLevel="0" collapsed="false">
      <c r="B55" s="853"/>
      <c r="C55" s="908" t="s">
        <v>933</v>
      </c>
      <c r="D55" s="908"/>
      <c r="E55" s="908"/>
      <c r="F55" s="908"/>
      <c r="G55" s="909"/>
    </row>
  </sheetData>
  <sheetProtection algorithmName="SHA-512" hashValue="fjxXSbpY5s2mk18F7xdIvRzgmxR7tcdaQ3xIheo7rSV3MFZFdhbqHoynl7gLoJ4t9TKcAB0k911jy1Jd3eto8g==" saltValue="ORToKqbIOeY+wc1Ow4M1eA==" spinCount="100000" sheet="true" objects="true" scenarios="true"/>
  <mergeCells count="5">
    <mergeCell ref="C3:F3"/>
    <mergeCell ref="C4:F4"/>
    <mergeCell ref="C6:F6"/>
    <mergeCell ref="C8:F8"/>
    <mergeCell ref="C55:F55"/>
  </mergeCell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55"/>
  <sheetViews>
    <sheetView showFormulas="false" showGridLines="true" showRowColHeaders="true" showZeros="true" rightToLeft="false" tabSelected="false" showOutlineSymbols="true" defaultGridColor="true" view="normal" topLeftCell="A3" colorId="64" zoomScale="100" zoomScaleNormal="100" zoomScalePageLayoutView="100" workbookViewId="0">
      <selection pane="topLeft" activeCell="P5" activeCellId="0" sqref="P5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61.62"/>
    <col collapsed="false" customWidth="true" hidden="false" outlineLevel="0" max="4" min="4" style="1" width="11.62"/>
    <col collapsed="false" customWidth="true" hidden="false" outlineLevel="0" max="5" min="5" style="1" width="15.62"/>
    <col collapsed="false" customWidth="true" hidden="false" outlineLevel="0" max="6" min="6" style="1" width="17.62"/>
    <col collapsed="false" customWidth="true" hidden="false" outlineLevel="0" max="8" min="7" style="1" width="3.62"/>
    <col collapsed="false" customWidth="true" hidden="true" outlineLevel="0" max="15" min="9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851"/>
      <c r="B1" s="1304"/>
      <c r="C1" s="1304"/>
      <c r="D1" s="1304"/>
      <c r="E1" s="1304"/>
      <c r="F1" s="1304"/>
      <c r="G1" s="1304"/>
      <c r="H1" s="1304"/>
      <c r="I1" s="1304"/>
      <c r="J1" s="1304"/>
      <c r="K1" s="1304"/>
      <c r="L1" s="1304"/>
      <c r="M1" s="1304"/>
      <c r="N1" s="1304"/>
      <c r="O1" s="1304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1304"/>
      <c r="B2" s="853"/>
      <c r="C2" s="81" t="str">
        <f aca="false">Contents!B59</f>
        <v>Version: AS L 6 LARGE locked LOCAL</v>
      </c>
      <c r="D2" s="1293"/>
      <c r="E2" s="820"/>
      <c r="F2" s="820"/>
      <c r="G2" s="853"/>
      <c r="H2" s="1304"/>
      <c r="I2" s="1304"/>
      <c r="J2" s="1304"/>
      <c r="K2" s="1304"/>
      <c r="L2" s="1304"/>
      <c r="M2" s="1304"/>
      <c r="N2" s="1304"/>
      <c r="O2" s="1304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854"/>
      <c r="B3" s="855"/>
      <c r="C3" s="816" t="str">
        <f aca="false">Contents!$E$3</f>
        <v>THE SOCIETY FOR CREATIVE ANACHRONISM, INC.</v>
      </c>
      <c r="D3" s="816"/>
      <c r="E3" s="816"/>
      <c r="F3" s="816"/>
      <c r="G3" s="857"/>
      <c r="H3" s="854"/>
      <c r="I3" s="854"/>
      <c r="J3" s="854"/>
      <c r="K3" s="854"/>
      <c r="L3" s="854"/>
      <c r="M3" s="854"/>
      <c r="N3" s="854"/>
      <c r="O3" s="85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1304"/>
      <c r="B4" s="855"/>
      <c r="C4" s="816" t="str">
        <f aca="false">Contents!$E$4</f>
        <v>FINANCIAL REPORT</v>
      </c>
      <c r="D4" s="816"/>
      <c r="E4" s="816"/>
      <c r="F4" s="816"/>
      <c r="G4" s="857"/>
      <c r="H4" s="1304"/>
      <c r="I4" s="1304"/>
      <c r="J4" s="1304"/>
      <c r="K4" s="1304"/>
      <c r="L4" s="1304"/>
      <c r="M4" s="1304"/>
      <c r="N4" s="1304"/>
      <c r="O4" s="1304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1304"/>
      <c r="B5" s="853"/>
      <c r="C5" s="853"/>
      <c r="D5" s="853"/>
      <c r="E5" s="853"/>
      <c r="F5" s="853"/>
      <c r="G5" s="853"/>
      <c r="H5" s="1304"/>
      <c r="I5" s="1304"/>
      <c r="J5" s="1304"/>
      <c r="K5" s="1304"/>
      <c r="L5" s="1304"/>
      <c r="M5" s="1304"/>
      <c r="N5" s="1304"/>
      <c r="O5" s="1304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1304"/>
      <c r="B6" s="853"/>
      <c r="C6" s="819" t="str">
        <f aca="false">Contents!B58</f>
        <v>Branch:   SCA, Inc.- Middle Kingdom                                               Period:  1/01/2025             to     12/31/2025            .</v>
      </c>
      <c r="D6" s="819"/>
      <c r="E6" s="819"/>
      <c r="F6" s="819"/>
      <c r="G6" s="853"/>
      <c r="H6" s="1304"/>
      <c r="I6" s="1304"/>
      <c r="J6" s="1304"/>
      <c r="K6" s="1304"/>
      <c r="L6" s="1304"/>
      <c r="M6" s="1304"/>
      <c r="N6" s="1304"/>
      <c r="O6" s="1304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1304"/>
      <c r="B7" s="853"/>
      <c r="C7" s="853"/>
      <c r="D7" s="853"/>
      <c r="E7" s="853"/>
      <c r="F7" s="853"/>
      <c r="G7" s="853"/>
      <c r="H7" s="1304"/>
      <c r="I7" s="1304"/>
      <c r="J7" s="1304"/>
      <c r="K7" s="1304"/>
      <c r="L7" s="1304"/>
      <c r="M7" s="1304"/>
      <c r="N7" s="1304"/>
      <c r="O7" s="1304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875"/>
      <c r="B8" s="853"/>
      <c r="C8" s="859" t="s">
        <v>927</v>
      </c>
      <c r="D8" s="859"/>
      <c r="E8" s="859"/>
      <c r="F8" s="859"/>
      <c r="G8" s="909"/>
      <c r="H8" s="875"/>
      <c r="I8" s="875"/>
      <c r="J8" s="875"/>
      <c r="K8" s="875"/>
      <c r="L8" s="875"/>
      <c r="M8" s="875"/>
      <c r="N8" s="875"/>
      <c r="O8" s="875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1304"/>
      <c r="B9" s="882"/>
      <c r="C9" s="860" t="s">
        <v>636</v>
      </c>
      <c r="D9" s="882"/>
      <c r="E9" s="882"/>
      <c r="F9" s="882"/>
      <c r="G9" s="882"/>
      <c r="H9" s="1304"/>
      <c r="I9" s="1304"/>
      <c r="J9" s="1304"/>
      <c r="K9" s="1304"/>
      <c r="L9" s="1304"/>
      <c r="M9" s="1304"/>
      <c r="N9" s="1304"/>
      <c r="O9" s="1304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5" hidden="false" customHeight="false" outlineLevel="0" collapsed="false">
      <c r="A10" s="1304"/>
      <c r="B10" s="853"/>
      <c r="C10" s="861" t="s">
        <v>637</v>
      </c>
      <c r="D10" s="862" t="s">
        <v>588</v>
      </c>
      <c r="E10" s="862" t="s">
        <v>589</v>
      </c>
      <c r="F10" s="864" t="s">
        <v>416</v>
      </c>
      <c r="G10" s="881"/>
      <c r="H10" s="1304"/>
      <c r="I10" s="1304"/>
      <c r="J10" s="1304"/>
      <c r="K10" s="1304"/>
      <c r="L10" s="1304"/>
      <c r="M10" s="1304"/>
      <c r="N10" s="1304"/>
      <c r="O10" s="1304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false" outlineLevel="0" collapsed="false">
      <c r="A11" s="1304"/>
      <c r="B11" s="853"/>
      <c r="C11" s="1305"/>
      <c r="D11" s="866"/>
      <c r="E11" s="867"/>
      <c r="F11" s="1306"/>
      <c r="G11" s="869"/>
      <c r="H11" s="1304"/>
      <c r="I11" s="1304"/>
      <c r="J11" s="1304"/>
      <c r="K11" s="1304"/>
      <c r="L11" s="1304"/>
      <c r="M11" s="1304"/>
      <c r="N11" s="1304"/>
      <c r="O11" s="1304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false" outlineLevel="0" collapsed="false">
      <c r="A12" s="1304"/>
      <c r="B12" s="853"/>
      <c r="C12" s="1305"/>
      <c r="D12" s="871"/>
      <c r="E12" s="872"/>
      <c r="F12" s="1307"/>
      <c r="G12" s="869"/>
      <c r="H12" s="1304"/>
      <c r="I12" s="1304"/>
      <c r="J12" s="1304"/>
      <c r="K12" s="1304"/>
      <c r="L12" s="1304"/>
      <c r="M12" s="1304"/>
      <c r="N12" s="1304"/>
      <c r="O12" s="1304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false" outlineLevel="0" collapsed="false">
      <c r="A13" s="1304"/>
      <c r="B13" s="853"/>
      <c r="C13" s="1305"/>
      <c r="D13" s="871"/>
      <c r="E13" s="872"/>
      <c r="F13" s="1307"/>
      <c r="G13" s="869"/>
      <c r="H13" s="1304"/>
      <c r="I13" s="1304"/>
      <c r="J13" s="1304"/>
      <c r="K13" s="1304"/>
      <c r="L13" s="1304"/>
      <c r="M13" s="1304"/>
      <c r="N13" s="1304"/>
      <c r="O13" s="1304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false" outlineLevel="0" collapsed="false">
      <c r="A14" s="1304"/>
      <c r="B14" s="853"/>
      <c r="C14" s="1305"/>
      <c r="D14" s="871"/>
      <c r="E14" s="872"/>
      <c r="F14" s="1307"/>
      <c r="G14" s="869"/>
      <c r="H14" s="1304"/>
      <c r="I14" s="1304"/>
      <c r="J14" s="1304"/>
      <c r="K14" s="1304"/>
      <c r="L14" s="1304"/>
      <c r="M14" s="1304"/>
      <c r="N14" s="1304"/>
      <c r="O14" s="1304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1304"/>
      <c r="B15" s="853"/>
      <c r="C15" s="1305"/>
      <c r="D15" s="871"/>
      <c r="E15" s="872"/>
      <c r="F15" s="1307"/>
      <c r="G15" s="869"/>
      <c r="H15" s="1304"/>
      <c r="I15" s="1304"/>
      <c r="J15" s="1304"/>
      <c r="K15" s="1304"/>
      <c r="L15" s="1304"/>
      <c r="M15" s="1304"/>
      <c r="N15" s="1304"/>
      <c r="O15" s="1304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false" outlineLevel="0" collapsed="false">
      <c r="A16" s="1304"/>
      <c r="B16" s="853"/>
      <c r="C16" s="1305"/>
      <c r="D16" s="871"/>
      <c r="E16" s="872"/>
      <c r="F16" s="1307"/>
      <c r="G16" s="869"/>
      <c r="H16" s="1304"/>
      <c r="I16" s="1304"/>
      <c r="J16" s="1304"/>
      <c r="K16" s="1304"/>
      <c r="L16" s="1304"/>
      <c r="M16" s="1304"/>
      <c r="N16" s="1304"/>
      <c r="O16" s="1304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B17" s="853"/>
      <c r="C17" s="1305"/>
      <c r="D17" s="871"/>
      <c r="E17" s="872"/>
      <c r="F17" s="1307"/>
      <c r="G17" s="869"/>
      <c r="H17" s="1304"/>
      <c r="I17" s="1304"/>
      <c r="J17" s="1304"/>
      <c r="K17" s="1304"/>
      <c r="L17" s="1304"/>
      <c r="M17" s="1304"/>
      <c r="N17" s="1304"/>
      <c r="O17" s="1304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B18" s="853"/>
      <c r="C18" s="1305"/>
      <c r="D18" s="871"/>
      <c r="E18" s="872"/>
      <c r="F18" s="1307"/>
      <c r="G18" s="869"/>
      <c r="H18" s="1304"/>
      <c r="I18" s="1304"/>
      <c r="J18" s="1304"/>
      <c r="K18" s="1304"/>
      <c r="L18" s="1304"/>
      <c r="M18" s="1304"/>
      <c r="N18" s="1304"/>
      <c r="O18" s="1304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14.25" hidden="false" customHeight="false" outlineLevel="0" collapsed="false">
      <c r="B19" s="853"/>
      <c r="C19" s="1305"/>
      <c r="D19" s="871"/>
      <c r="E19" s="872"/>
      <c r="F19" s="1307"/>
      <c r="G19" s="869"/>
      <c r="H19" s="1304"/>
      <c r="I19" s="1304"/>
      <c r="J19" s="1304"/>
      <c r="K19" s="1304"/>
      <c r="L19" s="1304"/>
      <c r="M19" s="1304"/>
      <c r="N19" s="1304"/>
      <c r="O19" s="1304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14.25" hidden="false" customHeight="false" outlineLevel="0" collapsed="false">
      <c r="B20" s="853"/>
      <c r="C20" s="1305"/>
      <c r="D20" s="871"/>
      <c r="E20" s="872"/>
      <c r="F20" s="1307"/>
      <c r="G20" s="869"/>
      <c r="H20" s="1304"/>
      <c r="I20" s="1304"/>
      <c r="J20" s="1304"/>
      <c r="K20" s="1304"/>
      <c r="L20" s="1304"/>
      <c r="M20" s="1304"/>
      <c r="N20" s="1304"/>
      <c r="O20" s="1304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14.25" hidden="false" customHeight="false" outlineLevel="0" collapsed="false">
      <c r="B21" s="853"/>
      <c r="C21" s="1305"/>
      <c r="D21" s="871"/>
      <c r="E21" s="872"/>
      <c r="F21" s="1307"/>
      <c r="G21" s="869"/>
      <c r="H21" s="1304"/>
      <c r="I21" s="1304"/>
      <c r="J21" s="1304"/>
      <c r="K21" s="1304"/>
      <c r="L21" s="1304"/>
      <c r="M21" s="1304"/>
      <c r="N21" s="1304"/>
      <c r="O21" s="1304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14.25" hidden="false" customHeight="false" outlineLevel="0" collapsed="false">
      <c r="B22" s="853"/>
      <c r="C22" s="1305"/>
      <c r="D22" s="871"/>
      <c r="E22" s="872"/>
      <c r="F22" s="1307"/>
      <c r="G22" s="869"/>
      <c r="H22" s="1304"/>
      <c r="I22" s="1304"/>
      <c r="J22" s="1304"/>
      <c r="K22" s="1304"/>
      <c r="L22" s="1304"/>
      <c r="M22" s="1304"/>
      <c r="N22" s="1304"/>
      <c r="O22" s="1304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14.25" hidden="false" customHeight="false" outlineLevel="0" collapsed="false">
      <c r="B23" s="853"/>
      <c r="C23" s="1305"/>
      <c r="D23" s="871"/>
      <c r="E23" s="872"/>
      <c r="F23" s="1307"/>
      <c r="G23" s="869"/>
      <c r="H23" s="1304"/>
      <c r="I23" s="1304"/>
      <c r="J23" s="1304"/>
      <c r="K23" s="1304"/>
      <c r="L23" s="1304"/>
      <c r="M23" s="1304"/>
      <c r="N23" s="1304"/>
      <c r="O23" s="1304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4.25" hidden="false" customHeight="false" outlineLevel="0" collapsed="false">
      <c r="B24" s="853"/>
      <c r="C24" s="1305"/>
      <c r="D24" s="871"/>
      <c r="E24" s="872"/>
      <c r="F24" s="1307"/>
      <c r="G24" s="869"/>
      <c r="H24" s="1304"/>
      <c r="I24" s="1304"/>
      <c r="J24" s="1304"/>
      <c r="K24" s="1304"/>
      <c r="L24" s="1304"/>
      <c r="M24" s="1304"/>
      <c r="N24" s="1304"/>
      <c r="O24" s="1304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14.25" hidden="false" customHeight="false" outlineLevel="0" collapsed="false">
      <c r="B25" s="853"/>
      <c r="C25" s="1305"/>
      <c r="D25" s="871"/>
      <c r="E25" s="872"/>
      <c r="F25" s="1307"/>
      <c r="G25" s="869"/>
      <c r="H25" s="874"/>
      <c r="I25" s="874"/>
      <c r="J25" s="874"/>
      <c r="K25" s="874"/>
      <c r="L25" s="874"/>
      <c r="M25" s="874"/>
      <c r="N25" s="874"/>
      <c r="O25" s="874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4.25" hidden="false" customHeight="false" outlineLevel="0" collapsed="false">
      <c r="B26" s="853"/>
      <c r="C26" s="1305"/>
      <c r="D26" s="871"/>
      <c r="E26" s="872"/>
      <c r="F26" s="1307"/>
      <c r="G26" s="869"/>
      <c r="H26" s="852"/>
      <c r="I26" s="852"/>
      <c r="J26" s="852"/>
      <c r="K26" s="852"/>
      <c r="L26" s="852"/>
      <c r="M26" s="852"/>
      <c r="N26" s="852"/>
      <c r="O26" s="852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false" outlineLevel="0" collapsed="false">
      <c r="B27" s="853"/>
      <c r="C27" s="1308"/>
      <c r="D27" s="889"/>
      <c r="E27" s="890"/>
      <c r="F27" s="1309"/>
      <c r="G27" s="869"/>
      <c r="H27" s="1304"/>
      <c r="I27" s="1304"/>
      <c r="J27" s="1304"/>
      <c r="K27" s="1304"/>
      <c r="L27" s="1304"/>
      <c r="M27" s="1304"/>
      <c r="N27" s="1304"/>
      <c r="O27" s="1304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B28" s="853"/>
      <c r="C28" s="876"/>
      <c r="D28" s="877"/>
      <c r="E28" s="878" t="s">
        <v>213</v>
      </c>
      <c r="F28" s="1310" t="n">
        <f aca="false">SUM(F11:F27)</f>
        <v>0</v>
      </c>
      <c r="G28" s="869"/>
      <c r="H28" s="1304"/>
      <c r="I28" s="1304"/>
      <c r="J28" s="1304"/>
      <c r="K28" s="1304"/>
      <c r="L28" s="1304"/>
      <c r="M28" s="1304"/>
      <c r="N28" s="1304"/>
      <c r="O28" s="1304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B29" s="853"/>
      <c r="C29" s="853"/>
      <c r="D29" s="853"/>
      <c r="E29" s="853"/>
      <c r="F29" s="880"/>
      <c r="G29" s="880"/>
      <c r="H29" s="1304"/>
      <c r="I29" s="1304"/>
      <c r="J29" s="1304"/>
      <c r="K29" s="1304"/>
      <c r="L29" s="1304"/>
      <c r="M29" s="1304"/>
      <c r="N29" s="1304"/>
      <c r="O29" s="1304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5" hidden="false" customHeight="false" outlineLevel="0" collapsed="false">
      <c r="B30" s="853"/>
      <c r="C30" s="860" t="s">
        <v>647</v>
      </c>
      <c r="D30" s="881"/>
      <c r="E30" s="881"/>
      <c r="F30" s="1311"/>
      <c r="G30" s="905"/>
      <c r="H30" s="1304"/>
      <c r="I30" s="1304"/>
      <c r="J30" s="1304"/>
      <c r="K30" s="1304"/>
      <c r="L30" s="1304"/>
      <c r="M30" s="1304"/>
      <c r="N30" s="1304"/>
      <c r="O30" s="1304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26.45" hidden="false" customHeight="false" outlineLevel="0" collapsed="false">
      <c r="B31" s="853"/>
      <c r="C31" s="1312" t="s">
        <v>648</v>
      </c>
      <c r="D31" s="862" t="s">
        <v>588</v>
      </c>
      <c r="E31" s="862" t="s">
        <v>589</v>
      </c>
      <c r="F31" s="1313" t="s">
        <v>416</v>
      </c>
      <c r="G31" s="905"/>
      <c r="H31" s="1304"/>
      <c r="I31" s="1304"/>
      <c r="J31" s="1304"/>
      <c r="K31" s="1304"/>
      <c r="L31" s="1304"/>
      <c r="M31" s="1304"/>
      <c r="N31" s="1304"/>
      <c r="O31" s="1304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B32" s="853"/>
      <c r="C32" s="1314"/>
      <c r="D32" s="889"/>
      <c r="E32" s="890"/>
      <c r="F32" s="1309"/>
      <c r="G32" s="869"/>
      <c r="H32" s="1304"/>
      <c r="I32" s="1304"/>
      <c r="J32" s="1304"/>
      <c r="K32" s="1304"/>
      <c r="L32" s="1304"/>
      <c r="M32" s="1304"/>
      <c r="N32" s="1304"/>
      <c r="O32" s="1304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B33" s="853"/>
      <c r="C33" s="1305"/>
      <c r="D33" s="871"/>
      <c r="E33" s="872"/>
      <c r="F33" s="1307"/>
      <c r="G33" s="869"/>
      <c r="H33" s="1304"/>
      <c r="I33" s="1304"/>
      <c r="J33" s="1304"/>
      <c r="K33" s="1304"/>
      <c r="L33" s="1304"/>
      <c r="M33" s="1304"/>
      <c r="N33" s="1304"/>
      <c r="O33" s="1304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B34" s="853"/>
      <c r="C34" s="1305"/>
      <c r="D34" s="871"/>
      <c r="E34" s="872"/>
      <c r="F34" s="1307"/>
      <c r="G34" s="869"/>
      <c r="H34" s="1304"/>
      <c r="I34" s="1304"/>
      <c r="J34" s="1304"/>
      <c r="K34" s="1304"/>
      <c r="L34" s="1304"/>
      <c r="M34" s="1304"/>
      <c r="N34" s="1304"/>
      <c r="O34" s="1304"/>
      <c r="P34" s="79" t="s">
        <v>79</v>
      </c>
      <c r="Q34" s="78"/>
      <c r="R34" s="78"/>
      <c r="S34" s="78"/>
      <c r="T34" s="79" t="s">
        <v>87</v>
      </c>
    </row>
    <row r="35" customFormat="false" ht="14.25" hidden="false" customHeight="false" outlineLevel="0" collapsed="false">
      <c r="B35" s="853"/>
      <c r="C35" s="1305"/>
      <c r="D35" s="871"/>
      <c r="E35" s="872"/>
      <c r="F35" s="1307"/>
      <c r="G35" s="869"/>
      <c r="H35" s="1304"/>
      <c r="I35" s="1304"/>
      <c r="J35" s="1304"/>
      <c r="K35" s="1304"/>
      <c r="L35" s="1304"/>
      <c r="M35" s="1304"/>
      <c r="N35" s="1304"/>
      <c r="O35" s="1304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B36" s="853"/>
      <c r="C36" s="1305"/>
      <c r="D36" s="871"/>
      <c r="E36" s="872"/>
      <c r="F36" s="1307"/>
      <c r="G36" s="869"/>
      <c r="H36" s="1304"/>
      <c r="I36" s="1304"/>
      <c r="J36" s="1304"/>
      <c r="K36" s="1304"/>
      <c r="L36" s="1304"/>
      <c r="M36" s="1304"/>
      <c r="N36" s="1304"/>
      <c r="O36" s="1304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B37" s="853"/>
      <c r="C37" s="1305"/>
      <c r="D37" s="871"/>
      <c r="E37" s="872"/>
      <c r="F37" s="1307"/>
      <c r="G37" s="869"/>
      <c r="H37" s="1304"/>
      <c r="I37" s="1304"/>
      <c r="J37" s="1304"/>
      <c r="K37" s="1304"/>
      <c r="L37" s="1304"/>
      <c r="M37" s="1304"/>
      <c r="N37" s="1304"/>
      <c r="O37" s="1304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B38" s="853"/>
      <c r="C38" s="1305"/>
      <c r="D38" s="871"/>
      <c r="E38" s="872"/>
      <c r="F38" s="1307"/>
      <c r="G38" s="869"/>
      <c r="H38" s="1304"/>
      <c r="I38" s="1304"/>
      <c r="J38" s="1304"/>
      <c r="K38" s="1304"/>
      <c r="L38" s="1304"/>
      <c r="M38" s="1304"/>
      <c r="N38" s="1304"/>
      <c r="O38" s="1304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B39" s="853"/>
      <c r="C39" s="1305"/>
      <c r="D39" s="871"/>
      <c r="E39" s="872"/>
      <c r="F39" s="1307"/>
      <c r="G39" s="869"/>
      <c r="H39" s="1304"/>
      <c r="I39" s="1304"/>
      <c r="J39" s="1304"/>
      <c r="K39" s="1304"/>
      <c r="L39" s="1304"/>
      <c r="M39" s="1304"/>
      <c r="N39" s="1304"/>
      <c r="O39" s="1304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B40" s="853"/>
      <c r="C40" s="1305"/>
      <c r="D40" s="871"/>
      <c r="E40" s="872"/>
      <c r="F40" s="1307"/>
      <c r="G40" s="869"/>
      <c r="H40" s="1304"/>
      <c r="I40" s="1304"/>
      <c r="J40" s="1304"/>
      <c r="K40" s="1304"/>
      <c r="L40" s="1304"/>
      <c r="M40" s="1304"/>
      <c r="N40" s="1304"/>
      <c r="O40" s="1304"/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B41" s="853"/>
      <c r="C41" s="1308"/>
      <c r="D41" s="889"/>
      <c r="E41" s="890"/>
      <c r="F41" s="1309"/>
      <c r="G41" s="869"/>
      <c r="H41" s="1304"/>
      <c r="I41" s="1304"/>
      <c r="J41" s="1304"/>
      <c r="K41" s="1304"/>
      <c r="L41" s="1304"/>
      <c r="M41" s="1304"/>
      <c r="N41" s="1304"/>
      <c r="O41" s="1304"/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B42" s="853"/>
      <c r="C42" s="894"/>
      <c r="D42" s="895"/>
      <c r="E42" s="896" t="s">
        <v>658</v>
      </c>
      <c r="F42" s="1315" t="n">
        <f aca="false">SUM(F32:F41)</f>
        <v>0</v>
      </c>
      <c r="G42" s="869"/>
      <c r="H42" s="1304"/>
      <c r="I42" s="1304"/>
      <c r="J42" s="1304"/>
      <c r="K42" s="1304"/>
      <c r="L42" s="1304"/>
      <c r="M42" s="1304"/>
      <c r="N42" s="1304"/>
      <c r="O42" s="1304"/>
      <c r="P42" s="79" t="s">
        <v>192</v>
      </c>
      <c r="Q42" s="78"/>
      <c r="R42" s="78"/>
      <c r="S42" s="78"/>
      <c r="T42" s="78"/>
    </row>
    <row r="43" customFormat="false" ht="26.45" hidden="false" customHeight="false" outlineLevel="0" collapsed="false">
      <c r="B43" s="853"/>
      <c r="C43" s="898" t="s">
        <v>659</v>
      </c>
      <c r="D43" s="899" t="s">
        <v>588</v>
      </c>
      <c r="E43" s="899" t="s">
        <v>589</v>
      </c>
      <c r="F43" s="1316" t="s">
        <v>416</v>
      </c>
      <c r="G43" s="905"/>
      <c r="H43" s="1304"/>
      <c r="I43" s="1304"/>
      <c r="J43" s="1304"/>
      <c r="K43" s="1304"/>
      <c r="L43" s="1304"/>
      <c r="M43" s="1304"/>
      <c r="N43" s="1304"/>
      <c r="O43" s="1304"/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B44" s="853"/>
      <c r="C44" s="1314"/>
      <c r="D44" s="889"/>
      <c r="E44" s="890"/>
      <c r="F44" s="1309"/>
      <c r="G44" s="869"/>
      <c r="H44" s="1304"/>
      <c r="I44" s="1304"/>
      <c r="J44" s="1304"/>
      <c r="K44" s="1304"/>
      <c r="L44" s="1304"/>
      <c r="M44" s="1304"/>
      <c r="N44" s="1304"/>
      <c r="O44" s="1304"/>
      <c r="P44" s="78"/>
      <c r="Q44" s="78"/>
      <c r="R44" s="78"/>
      <c r="S44" s="78"/>
      <c r="T44" s="78"/>
    </row>
    <row r="45" customFormat="false" ht="14.25" hidden="false" customHeight="false" outlineLevel="0" collapsed="false">
      <c r="B45" s="853"/>
      <c r="C45" s="1305"/>
      <c r="D45" s="871"/>
      <c r="E45" s="872"/>
      <c r="F45" s="1307"/>
      <c r="G45" s="869"/>
      <c r="H45" s="1304"/>
      <c r="I45" s="1304"/>
      <c r="J45" s="1304"/>
      <c r="K45" s="1304"/>
      <c r="L45" s="1304"/>
      <c r="M45" s="1304"/>
      <c r="N45" s="1304"/>
      <c r="O45" s="1304"/>
      <c r="P45" s="78"/>
      <c r="Q45" s="78"/>
      <c r="R45" s="78"/>
      <c r="S45" s="78"/>
      <c r="T45" s="78"/>
    </row>
    <row r="46" customFormat="false" ht="14.25" hidden="false" customHeight="false" outlineLevel="0" collapsed="false">
      <c r="B46" s="853"/>
      <c r="C46" s="1305"/>
      <c r="D46" s="871"/>
      <c r="E46" s="872"/>
      <c r="F46" s="1307"/>
      <c r="G46" s="869"/>
      <c r="H46" s="1304"/>
      <c r="I46" s="1304"/>
      <c r="J46" s="1304"/>
      <c r="K46" s="1304"/>
      <c r="L46" s="1304"/>
      <c r="M46" s="1304"/>
      <c r="N46" s="1304"/>
      <c r="O46" s="1304"/>
      <c r="Q46" s="78"/>
      <c r="R46" s="78"/>
      <c r="S46" s="78"/>
      <c r="T46" s="78"/>
    </row>
    <row r="47" customFormat="false" ht="14.25" hidden="false" customHeight="false" outlineLevel="0" collapsed="false">
      <c r="B47" s="853"/>
      <c r="C47" s="1305"/>
      <c r="D47" s="871"/>
      <c r="E47" s="872"/>
      <c r="F47" s="1307"/>
      <c r="G47" s="869"/>
      <c r="H47" s="1304"/>
      <c r="I47" s="1304"/>
      <c r="J47" s="1304"/>
      <c r="K47" s="1304"/>
      <c r="L47" s="1304"/>
      <c r="M47" s="1304"/>
      <c r="N47" s="1304"/>
      <c r="O47" s="1304"/>
      <c r="Q47" s="78"/>
      <c r="R47" s="78"/>
      <c r="S47" s="78"/>
      <c r="T47" s="78"/>
    </row>
    <row r="48" customFormat="false" ht="14.25" hidden="false" customHeight="false" outlineLevel="0" collapsed="false">
      <c r="B48" s="853"/>
      <c r="C48" s="1314"/>
      <c r="D48" s="889"/>
      <c r="E48" s="890"/>
      <c r="F48" s="1309"/>
      <c r="G48" s="869"/>
      <c r="H48" s="1304"/>
      <c r="I48" s="1304"/>
      <c r="J48" s="1304"/>
      <c r="K48" s="1304"/>
      <c r="L48" s="1304"/>
      <c r="M48" s="1304"/>
      <c r="N48" s="1304"/>
      <c r="O48" s="1304"/>
      <c r="S48" s="78"/>
    </row>
    <row r="49" customFormat="false" ht="14.25" hidden="false" customHeight="false" outlineLevel="0" collapsed="false">
      <c r="B49" s="853"/>
      <c r="C49" s="1305"/>
      <c r="D49" s="871"/>
      <c r="E49" s="872"/>
      <c r="F49" s="1307"/>
      <c r="G49" s="869"/>
      <c r="S49" s="78"/>
    </row>
    <row r="50" customFormat="false" ht="14.25" hidden="false" customHeight="false" outlineLevel="0" collapsed="false">
      <c r="B50" s="853"/>
      <c r="C50" s="1305"/>
      <c r="D50" s="871"/>
      <c r="E50" s="872"/>
      <c r="F50" s="1307"/>
      <c r="G50" s="869"/>
    </row>
    <row r="51" customFormat="false" ht="14.25" hidden="false" customHeight="false" outlineLevel="0" collapsed="false">
      <c r="B51" s="853"/>
      <c r="C51" s="1305"/>
      <c r="D51" s="871"/>
      <c r="E51" s="872"/>
      <c r="F51" s="1307"/>
      <c r="G51" s="869"/>
    </row>
    <row r="52" customFormat="false" ht="14.25" hidden="false" customHeight="false" outlineLevel="0" collapsed="false">
      <c r="B52" s="853"/>
      <c r="C52" s="1305"/>
      <c r="D52" s="871"/>
      <c r="E52" s="872"/>
      <c r="F52" s="1307"/>
      <c r="G52" s="869"/>
    </row>
    <row r="53" customFormat="false" ht="14.25" hidden="false" customHeight="false" outlineLevel="0" collapsed="false">
      <c r="B53" s="853"/>
      <c r="C53" s="1308"/>
      <c r="D53" s="893"/>
      <c r="E53" s="1317"/>
      <c r="F53" s="1318"/>
      <c r="G53" s="869"/>
    </row>
    <row r="54" customFormat="false" ht="14.25" hidden="false" customHeight="false" outlineLevel="0" collapsed="false">
      <c r="B54" s="853"/>
      <c r="C54" s="876"/>
      <c r="D54" s="877"/>
      <c r="E54" s="878" t="s">
        <v>660</v>
      </c>
      <c r="F54" s="1310" t="n">
        <f aca="false">SUM(F44:F53)</f>
        <v>0</v>
      </c>
      <c r="G54" s="869"/>
    </row>
    <row r="55" customFormat="false" ht="14.25" hidden="false" customHeight="false" outlineLevel="0" collapsed="false">
      <c r="B55" s="853"/>
      <c r="C55" s="908" t="s">
        <v>934</v>
      </c>
      <c r="D55" s="908"/>
      <c r="E55" s="908"/>
      <c r="F55" s="908"/>
      <c r="G55" s="909"/>
    </row>
  </sheetData>
  <sheetProtection algorithmName="SHA-512" hashValue="GZ3lvoOxy74mrrF0NMDpXtuwoJDNnlkjHZg5XvGt30Z1rPZ+P8l9aRPCqGrYYAChmYLxNTWz4dQF8X9Cm6vd8g==" saltValue="taUoPjx50BumjYcVjv/pbw==" spinCount="100000" sheet="true" objects="true" scenarios="true"/>
  <mergeCells count="5">
    <mergeCell ref="C3:F3"/>
    <mergeCell ref="C4:F4"/>
    <mergeCell ref="C6:F6"/>
    <mergeCell ref="C8:F8"/>
    <mergeCell ref="C55:F55"/>
  </mergeCell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55"/>
  <sheetViews>
    <sheetView showFormulas="false" showGridLines="true" showRowColHeaders="true" showZeros="true" rightToLeft="false" tabSelected="false" showOutlineSymbols="true" defaultGridColor="true" view="normal" topLeftCell="A3" colorId="64" zoomScale="100" zoomScaleNormal="100" zoomScalePageLayoutView="100" workbookViewId="0">
      <selection pane="topLeft" activeCell="P6" activeCellId="0" sqref="P6"/>
    </sheetView>
  </sheetViews>
  <sheetFormatPr defaultColWidth="9.12890625" defaultRowHeight="14.25" customHeight="false" zeroHeight="false" outlineLevelRow="0" outlineLevelCol="0"/>
  <cols>
    <col collapsed="false" customWidth="true" hidden="false" outlineLevel="0" max="2" min="1" style="1" width="3.62"/>
    <col collapsed="false" customWidth="true" hidden="false" outlineLevel="0" max="3" min="3" style="1" width="61.62"/>
    <col collapsed="false" customWidth="true" hidden="false" outlineLevel="0" max="4" min="4" style="1" width="11.62"/>
    <col collapsed="false" customWidth="true" hidden="false" outlineLevel="0" max="5" min="5" style="1" width="15.62"/>
    <col collapsed="false" customWidth="true" hidden="false" outlineLevel="0" max="6" min="6" style="1" width="17.62"/>
    <col collapsed="false" customWidth="true" hidden="false" outlineLevel="0" max="8" min="7" style="1" width="3.62"/>
    <col collapsed="false" customWidth="true" hidden="true" outlineLevel="0" max="15" min="9" style="1" width="11.53"/>
    <col collapsed="false" customWidth="true" hidden="false" outlineLevel="0" max="16" min="16" style="1" width="25"/>
    <col collapsed="false" customWidth="true" hidden="true" outlineLevel="0" max="20" min="17" style="1" width="25"/>
    <col collapsed="false" customWidth="false" hidden="false" outlineLevel="0" max="16384" min="21" style="1" width="9.13"/>
  </cols>
  <sheetData>
    <row r="1" customFormat="false" ht="14.25" hidden="false" customHeight="false" outlineLevel="0" collapsed="false">
      <c r="A1" s="851"/>
      <c r="B1" s="1304"/>
      <c r="C1" s="1304"/>
      <c r="D1" s="1304"/>
      <c r="E1" s="1304"/>
      <c r="F1" s="1304"/>
      <c r="G1" s="1304"/>
      <c r="H1" s="1304"/>
      <c r="I1" s="1304"/>
      <c r="J1" s="1304"/>
      <c r="K1" s="1304"/>
      <c r="L1" s="1304"/>
      <c r="M1" s="1304"/>
      <c r="N1" s="1304"/>
      <c r="O1" s="1304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false" outlineLevel="0" collapsed="false">
      <c r="A2" s="1304"/>
      <c r="B2" s="853"/>
      <c r="C2" s="81" t="str">
        <f aca="false">Contents!B59</f>
        <v>Version: AS L 6 LARGE locked LOCAL</v>
      </c>
      <c r="D2" s="1293"/>
      <c r="E2" s="820"/>
      <c r="F2" s="820"/>
      <c r="G2" s="853"/>
      <c r="H2" s="1304"/>
      <c r="I2" s="1304"/>
      <c r="J2" s="1304"/>
      <c r="K2" s="1304"/>
      <c r="L2" s="1304"/>
      <c r="M2" s="1304"/>
      <c r="N2" s="1304"/>
      <c r="O2" s="1304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false" outlineLevel="0" collapsed="false">
      <c r="A3" s="854"/>
      <c r="B3" s="855"/>
      <c r="C3" s="816" t="str">
        <f aca="false">Contents!$E$3</f>
        <v>THE SOCIETY FOR CREATIVE ANACHRONISM, INC.</v>
      </c>
      <c r="D3" s="816"/>
      <c r="E3" s="816"/>
      <c r="F3" s="816"/>
      <c r="G3" s="857"/>
      <c r="H3" s="854"/>
      <c r="I3" s="854"/>
      <c r="J3" s="854"/>
      <c r="K3" s="854"/>
      <c r="L3" s="854"/>
      <c r="M3" s="854"/>
      <c r="N3" s="854"/>
      <c r="O3" s="85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false" outlineLevel="0" collapsed="false">
      <c r="A4" s="1304"/>
      <c r="B4" s="855"/>
      <c r="C4" s="816" t="str">
        <f aca="false">Contents!$E$4</f>
        <v>FINANCIAL REPORT</v>
      </c>
      <c r="D4" s="816"/>
      <c r="E4" s="816"/>
      <c r="F4" s="816"/>
      <c r="G4" s="857"/>
      <c r="H4" s="1304"/>
      <c r="I4" s="1304"/>
      <c r="J4" s="1304"/>
      <c r="K4" s="1304"/>
      <c r="L4" s="1304"/>
      <c r="M4" s="1304"/>
      <c r="N4" s="1304"/>
      <c r="O4" s="1304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false" outlineLevel="0" collapsed="false">
      <c r="A5" s="1304"/>
      <c r="B5" s="853"/>
      <c r="C5" s="853"/>
      <c r="D5" s="853"/>
      <c r="E5" s="853"/>
      <c r="F5" s="853"/>
      <c r="G5" s="853"/>
      <c r="H5" s="1304"/>
      <c r="I5" s="1304"/>
      <c r="J5" s="1304"/>
      <c r="K5" s="1304"/>
      <c r="L5" s="1304"/>
      <c r="M5" s="1304"/>
      <c r="N5" s="1304"/>
      <c r="O5" s="1304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false" outlineLevel="0" collapsed="false">
      <c r="A6" s="1304"/>
      <c r="B6" s="853"/>
      <c r="C6" s="819" t="str">
        <f aca="false">Contents!B58</f>
        <v>Branch:   SCA, Inc.- Middle Kingdom                                               Period:  1/01/2025             to     12/31/2025            .</v>
      </c>
      <c r="D6" s="819"/>
      <c r="E6" s="819"/>
      <c r="F6" s="819"/>
      <c r="G6" s="853"/>
      <c r="H6" s="1304"/>
      <c r="I6" s="1304"/>
      <c r="J6" s="1304"/>
      <c r="K6" s="1304"/>
      <c r="L6" s="1304"/>
      <c r="M6" s="1304"/>
      <c r="N6" s="1304"/>
      <c r="O6" s="1304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false" outlineLevel="0" collapsed="false">
      <c r="A7" s="1304"/>
      <c r="B7" s="853"/>
      <c r="C7" s="853"/>
      <c r="D7" s="853"/>
      <c r="E7" s="853"/>
      <c r="F7" s="853"/>
      <c r="G7" s="853"/>
      <c r="H7" s="1304"/>
      <c r="I7" s="1304"/>
      <c r="J7" s="1304"/>
      <c r="K7" s="1304"/>
      <c r="L7" s="1304"/>
      <c r="M7" s="1304"/>
      <c r="N7" s="1304"/>
      <c r="O7" s="1304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875"/>
      <c r="B8" s="853"/>
      <c r="C8" s="859" t="s">
        <v>927</v>
      </c>
      <c r="D8" s="859"/>
      <c r="E8" s="859"/>
      <c r="F8" s="859"/>
      <c r="G8" s="909"/>
      <c r="H8" s="875"/>
      <c r="I8" s="875"/>
      <c r="J8" s="875"/>
      <c r="K8" s="875"/>
      <c r="L8" s="875"/>
      <c r="M8" s="875"/>
      <c r="N8" s="875"/>
      <c r="O8" s="875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false" outlineLevel="0" collapsed="false">
      <c r="A9" s="1304"/>
      <c r="B9" s="882"/>
      <c r="C9" s="860" t="s">
        <v>636</v>
      </c>
      <c r="D9" s="882"/>
      <c r="E9" s="882"/>
      <c r="F9" s="882"/>
      <c r="G9" s="882"/>
      <c r="H9" s="1304"/>
      <c r="I9" s="1304"/>
      <c r="J9" s="1304"/>
      <c r="K9" s="1304"/>
      <c r="L9" s="1304"/>
      <c r="M9" s="1304"/>
      <c r="N9" s="1304"/>
      <c r="O9" s="1304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5" hidden="false" customHeight="false" outlineLevel="0" collapsed="false">
      <c r="A10" s="1304"/>
      <c r="B10" s="853"/>
      <c r="C10" s="861" t="s">
        <v>637</v>
      </c>
      <c r="D10" s="862" t="s">
        <v>588</v>
      </c>
      <c r="E10" s="862" t="s">
        <v>589</v>
      </c>
      <c r="F10" s="864" t="s">
        <v>416</v>
      </c>
      <c r="G10" s="881"/>
      <c r="H10" s="1304"/>
      <c r="I10" s="1304"/>
      <c r="J10" s="1304"/>
      <c r="K10" s="1304"/>
      <c r="L10" s="1304"/>
      <c r="M10" s="1304"/>
      <c r="N10" s="1304"/>
      <c r="O10" s="1304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false" outlineLevel="0" collapsed="false">
      <c r="A11" s="1304"/>
      <c r="B11" s="853"/>
      <c r="C11" s="1305"/>
      <c r="D11" s="866"/>
      <c r="E11" s="867"/>
      <c r="F11" s="1306"/>
      <c r="G11" s="869"/>
      <c r="H11" s="1304"/>
      <c r="I11" s="1304"/>
      <c r="J11" s="1304"/>
      <c r="K11" s="1304"/>
      <c r="L11" s="1304"/>
      <c r="M11" s="1304"/>
      <c r="N11" s="1304"/>
      <c r="O11" s="1304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false" outlineLevel="0" collapsed="false">
      <c r="A12" s="1304"/>
      <c r="B12" s="853"/>
      <c r="C12" s="1305"/>
      <c r="D12" s="871"/>
      <c r="E12" s="872"/>
      <c r="F12" s="1307"/>
      <c r="G12" s="869"/>
      <c r="H12" s="1304"/>
      <c r="I12" s="1304"/>
      <c r="J12" s="1304"/>
      <c r="K12" s="1304"/>
      <c r="L12" s="1304"/>
      <c r="M12" s="1304"/>
      <c r="N12" s="1304"/>
      <c r="O12" s="1304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false" outlineLevel="0" collapsed="false">
      <c r="A13" s="1304"/>
      <c r="B13" s="853"/>
      <c r="C13" s="1305"/>
      <c r="D13" s="871"/>
      <c r="E13" s="872"/>
      <c r="F13" s="1307"/>
      <c r="G13" s="869"/>
      <c r="H13" s="1304"/>
      <c r="I13" s="1304"/>
      <c r="J13" s="1304"/>
      <c r="K13" s="1304"/>
      <c r="L13" s="1304"/>
      <c r="M13" s="1304"/>
      <c r="N13" s="1304"/>
      <c r="O13" s="1304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false" outlineLevel="0" collapsed="false">
      <c r="A14" s="1304"/>
      <c r="B14" s="853"/>
      <c r="C14" s="1305"/>
      <c r="D14" s="871"/>
      <c r="E14" s="872"/>
      <c r="F14" s="1307"/>
      <c r="G14" s="869"/>
      <c r="H14" s="1304"/>
      <c r="I14" s="1304"/>
      <c r="J14" s="1304"/>
      <c r="K14" s="1304"/>
      <c r="L14" s="1304"/>
      <c r="M14" s="1304"/>
      <c r="N14" s="1304"/>
      <c r="O14" s="1304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false" outlineLevel="0" collapsed="false">
      <c r="A15" s="1304"/>
      <c r="B15" s="853"/>
      <c r="C15" s="1305"/>
      <c r="D15" s="871"/>
      <c r="E15" s="872"/>
      <c r="F15" s="1307"/>
      <c r="G15" s="869"/>
      <c r="H15" s="1304"/>
      <c r="I15" s="1304"/>
      <c r="J15" s="1304"/>
      <c r="K15" s="1304"/>
      <c r="L15" s="1304"/>
      <c r="M15" s="1304"/>
      <c r="N15" s="1304"/>
      <c r="O15" s="1304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false" outlineLevel="0" collapsed="false">
      <c r="A16" s="1304"/>
      <c r="B16" s="853"/>
      <c r="C16" s="1305"/>
      <c r="D16" s="871"/>
      <c r="E16" s="872"/>
      <c r="F16" s="1307"/>
      <c r="G16" s="869"/>
      <c r="H16" s="1304"/>
      <c r="I16" s="1304"/>
      <c r="J16" s="1304"/>
      <c r="K16" s="1304"/>
      <c r="L16" s="1304"/>
      <c r="M16" s="1304"/>
      <c r="N16" s="1304"/>
      <c r="O16" s="1304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false" outlineLevel="0" collapsed="false">
      <c r="B17" s="853"/>
      <c r="C17" s="1305"/>
      <c r="D17" s="871"/>
      <c r="E17" s="872"/>
      <c r="F17" s="1307"/>
      <c r="G17" s="869"/>
      <c r="H17" s="1304"/>
      <c r="I17" s="1304"/>
      <c r="J17" s="1304"/>
      <c r="K17" s="1304"/>
      <c r="L17" s="1304"/>
      <c r="M17" s="1304"/>
      <c r="N17" s="1304"/>
      <c r="O17" s="1304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false" outlineLevel="0" collapsed="false">
      <c r="B18" s="853"/>
      <c r="C18" s="1305"/>
      <c r="D18" s="871"/>
      <c r="E18" s="872"/>
      <c r="F18" s="1307"/>
      <c r="G18" s="869"/>
      <c r="H18" s="1304"/>
      <c r="I18" s="1304"/>
      <c r="J18" s="1304"/>
      <c r="K18" s="1304"/>
      <c r="L18" s="1304"/>
      <c r="M18" s="1304"/>
      <c r="N18" s="1304"/>
      <c r="O18" s="1304"/>
      <c r="P18" s="79" t="s">
        <v>55</v>
      </c>
      <c r="Q18" s="79" t="s">
        <v>55</v>
      </c>
      <c r="R18" s="79" t="s">
        <v>91</v>
      </c>
      <c r="S18" s="79" t="s">
        <v>64</v>
      </c>
      <c r="T18" s="79" t="s">
        <v>55</v>
      </c>
    </row>
    <row r="19" customFormat="false" ht="14.25" hidden="false" customHeight="false" outlineLevel="0" collapsed="false">
      <c r="B19" s="853"/>
      <c r="C19" s="1305"/>
      <c r="D19" s="871"/>
      <c r="E19" s="872"/>
      <c r="F19" s="1307"/>
      <c r="G19" s="869"/>
      <c r="H19" s="1304"/>
      <c r="I19" s="1304"/>
      <c r="J19" s="1304"/>
      <c r="K19" s="1304"/>
      <c r="L19" s="1304"/>
      <c r="M19" s="1304"/>
      <c r="N19" s="1304"/>
      <c r="O19" s="1304"/>
      <c r="P19" s="79" t="s">
        <v>58</v>
      </c>
      <c r="Q19" s="79" t="s">
        <v>58</v>
      </c>
      <c r="R19" s="78"/>
      <c r="S19" s="79" t="s">
        <v>70</v>
      </c>
      <c r="T19" s="79" t="s">
        <v>58</v>
      </c>
    </row>
    <row r="20" customFormat="false" ht="14.25" hidden="false" customHeight="false" outlineLevel="0" collapsed="false">
      <c r="B20" s="853"/>
      <c r="C20" s="1305"/>
      <c r="D20" s="871"/>
      <c r="E20" s="872"/>
      <c r="F20" s="1307"/>
      <c r="G20" s="869"/>
      <c r="H20" s="1304"/>
      <c r="I20" s="1304"/>
      <c r="J20" s="1304"/>
      <c r="K20" s="1304"/>
      <c r="L20" s="1304"/>
      <c r="M20" s="1304"/>
      <c r="N20" s="1304"/>
      <c r="O20" s="1304"/>
      <c r="P20" s="79" t="s">
        <v>60</v>
      </c>
      <c r="Q20" s="79" t="s">
        <v>60</v>
      </c>
      <c r="R20" s="78"/>
      <c r="S20" s="79" t="s">
        <v>174</v>
      </c>
      <c r="T20" s="79" t="s">
        <v>60</v>
      </c>
    </row>
    <row r="21" customFormat="false" ht="14.25" hidden="false" customHeight="false" outlineLevel="0" collapsed="false">
      <c r="B21" s="853"/>
      <c r="C21" s="1305"/>
      <c r="D21" s="871"/>
      <c r="E21" s="872"/>
      <c r="F21" s="1307"/>
      <c r="G21" s="869"/>
      <c r="H21" s="1304"/>
      <c r="I21" s="1304"/>
      <c r="J21" s="1304"/>
      <c r="K21" s="1304"/>
      <c r="L21" s="1304"/>
      <c r="M21" s="1304"/>
      <c r="N21" s="1304"/>
      <c r="O21" s="1304"/>
      <c r="P21" s="79" t="s">
        <v>61</v>
      </c>
      <c r="Q21" s="79" t="s">
        <v>61</v>
      </c>
      <c r="R21" s="78"/>
      <c r="S21" s="79" t="s">
        <v>177</v>
      </c>
      <c r="T21" s="79" t="s">
        <v>61</v>
      </c>
    </row>
    <row r="22" customFormat="false" ht="14.25" hidden="false" customHeight="false" outlineLevel="0" collapsed="false">
      <c r="B22" s="853"/>
      <c r="C22" s="1305"/>
      <c r="D22" s="871"/>
      <c r="E22" s="872"/>
      <c r="F22" s="1307"/>
      <c r="G22" s="869"/>
      <c r="H22" s="1304"/>
      <c r="I22" s="1304"/>
      <c r="J22" s="1304"/>
      <c r="K22" s="1304"/>
      <c r="L22" s="1304"/>
      <c r="M22" s="1304"/>
      <c r="N22" s="1304"/>
      <c r="O22" s="1304"/>
      <c r="P22" s="79" t="s">
        <v>64</v>
      </c>
      <c r="Q22" s="79" t="s">
        <v>64</v>
      </c>
      <c r="R22" s="78"/>
      <c r="S22" s="79" t="s">
        <v>178</v>
      </c>
      <c r="T22" s="79" t="s">
        <v>64</v>
      </c>
    </row>
    <row r="23" customFormat="false" ht="14.25" hidden="false" customHeight="false" outlineLevel="0" collapsed="false">
      <c r="B23" s="853"/>
      <c r="C23" s="1305"/>
      <c r="D23" s="871"/>
      <c r="E23" s="872"/>
      <c r="F23" s="1307"/>
      <c r="G23" s="869"/>
      <c r="H23" s="1304"/>
      <c r="I23" s="1304"/>
      <c r="J23" s="1304"/>
      <c r="K23" s="1304"/>
      <c r="L23" s="1304"/>
      <c r="M23" s="1304"/>
      <c r="N23" s="1304"/>
      <c r="O23" s="1304"/>
      <c r="P23" s="79" t="s">
        <v>68</v>
      </c>
      <c r="Q23" s="79" t="s">
        <v>83</v>
      </c>
      <c r="R23" s="78"/>
      <c r="S23" s="79" t="s">
        <v>179</v>
      </c>
      <c r="T23" s="79" t="s">
        <v>68</v>
      </c>
    </row>
    <row r="24" customFormat="false" ht="14.25" hidden="false" customHeight="false" outlineLevel="0" collapsed="false">
      <c r="B24" s="853"/>
      <c r="C24" s="1305"/>
      <c r="D24" s="871"/>
      <c r="E24" s="872"/>
      <c r="F24" s="1307"/>
      <c r="G24" s="869"/>
      <c r="H24" s="1304"/>
      <c r="I24" s="1304"/>
      <c r="J24" s="1304"/>
      <c r="K24" s="1304"/>
      <c r="L24" s="1304"/>
      <c r="M24" s="1304"/>
      <c r="N24" s="1304"/>
      <c r="O24" s="1304"/>
      <c r="P24" s="79" t="s">
        <v>69</v>
      </c>
      <c r="Q24" s="79" t="s">
        <v>87</v>
      </c>
      <c r="R24" s="78"/>
      <c r="S24" s="79" t="s">
        <v>180</v>
      </c>
      <c r="T24" s="79" t="s">
        <v>69</v>
      </c>
    </row>
    <row r="25" customFormat="false" ht="14.25" hidden="false" customHeight="false" outlineLevel="0" collapsed="false">
      <c r="B25" s="853"/>
      <c r="C25" s="1305"/>
      <c r="D25" s="871"/>
      <c r="E25" s="872"/>
      <c r="F25" s="1307"/>
      <c r="G25" s="869"/>
      <c r="H25" s="874"/>
      <c r="I25" s="874"/>
      <c r="J25" s="874"/>
      <c r="K25" s="874"/>
      <c r="L25" s="874"/>
      <c r="M25" s="874"/>
      <c r="N25" s="874"/>
      <c r="O25" s="874"/>
      <c r="P25" s="79" t="s">
        <v>70</v>
      </c>
      <c r="Q25" s="79" t="s">
        <v>91</v>
      </c>
      <c r="R25" s="78"/>
      <c r="S25" s="79" t="s">
        <v>181</v>
      </c>
      <c r="T25" s="79" t="s">
        <v>70</v>
      </c>
    </row>
    <row r="26" customFormat="false" ht="14.25" hidden="false" customHeight="false" outlineLevel="0" collapsed="false">
      <c r="B26" s="853"/>
      <c r="C26" s="1305"/>
      <c r="D26" s="871"/>
      <c r="E26" s="872"/>
      <c r="F26" s="1307"/>
      <c r="G26" s="869"/>
      <c r="H26" s="852"/>
      <c r="I26" s="852"/>
      <c r="J26" s="852"/>
      <c r="K26" s="852"/>
      <c r="L26" s="852"/>
      <c r="M26" s="852"/>
      <c r="N26" s="852"/>
      <c r="O26" s="852"/>
      <c r="P26" s="79" t="s">
        <v>174</v>
      </c>
      <c r="Q26" s="78"/>
      <c r="R26" s="78"/>
      <c r="S26" s="79" t="s">
        <v>83</v>
      </c>
      <c r="T26" s="79" t="s">
        <v>174</v>
      </c>
    </row>
    <row r="27" customFormat="false" ht="14.25" hidden="false" customHeight="false" outlineLevel="0" collapsed="false">
      <c r="B27" s="853"/>
      <c r="C27" s="1308"/>
      <c r="D27" s="889"/>
      <c r="E27" s="890"/>
      <c r="F27" s="1309"/>
      <c r="G27" s="869"/>
      <c r="H27" s="1304"/>
      <c r="I27" s="1304"/>
      <c r="J27" s="1304"/>
      <c r="K27" s="1304"/>
      <c r="L27" s="1304"/>
      <c r="M27" s="1304"/>
      <c r="N27" s="1304"/>
      <c r="O27" s="1304"/>
      <c r="P27" s="79" t="s">
        <v>177</v>
      </c>
      <c r="Q27" s="78"/>
      <c r="R27" s="78"/>
      <c r="S27" s="79" t="s">
        <v>85</v>
      </c>
      <c r="T27" s="79" t="s">
        <v>76</v>
      </c>
    </row>
    <row r="28" customFormat="false" ht="14.25" hidden="false" customHeight="false" outlineLevel="0" collapsed="false">
      <c r="B28" s="853"/>
      <c r="C28" s="876"/>
      <c r="D28" s="877"/>
      <c r="E28" s="878" t="s">
        <v>213</v>
      </c>
      <c r="F28" s="1310" t="n">
        <f aca="false">SUM(F11:F27)</f>
        <v>0</v>
      </c>
      <c r="G28" s="869"/>
      <c r="H28" s="1304"/>
      <c r="I28" s="1304"/>
      <c r="J28" s="1304"/>
      <c r="K28" s="1304"/>
      <c r="L28" s="1304"/>
      <c r="M28" s="1304"/>
      <c r="N28" s="1304"/>
      <c r="O28" s="1304"/>
      <c r="P28" s="79" t="s">
        <v>178</v>
      </c>
      <c r="Q28" s="78"/>
      <c r="R28" s="78"/>
      <c r="S28" s="79" t="s">
        <v>86</v>
      </c>
      <c r="T28" s="79" t="s">
        <v>78</v>
      </c>
    </row>
    <row r="29" customFormat="false" ht="14.25" hidden="false" customHeight="false" outlineLevel="0" collapsed="false">
      <c r="B29" s="853"/>
      <c r="C29" s="853"/>
      <c r="D29" s="853"/>
      <c r="E29" s="853"/>
      <c r="F29" s="880"/>
      <c r="G29" s="880"/>
      <c r="H29" s="1304"/>
      <c r="I29" s="1304"/>
      <c r="J29" s="1304"/>
      <c r="K29" s="1304"/>
      <c r="L29" s="1304"/>
      <c r="M29" s="1304"/>
      <c r="N29" s="1304"/>
      <c r="O29" s="1304"/>
      <c r="P29" s="79" t="s">
        <v>179</v>
      </c>
      <c r="Q29" s="78"/>
      <c r="R29" s="78"/>
      <c r="S29" s="79" t="s">
        <v>87</v>
      </c>
      <c r="T29" s="79" t="s">
        <v>79</v>
      </c>
    </row>
    <row r="30" customFormat="false" ht="15" hidden="false" customHeight="false" outlineLevel="0" collapsed="false">
      <c r="B30" s="853"/>
      <c r="C30" s="860" t="s">
        <v>647</v>
      </c>
      <c r="D30" s="881"/>
      <c r="E30" s="881"/>
      <c r="F30" s="1311"/>
      <c r="G30" s="905"/>
      <c r="H30" s="1304"/>
      <c r="I30" s="1304"/>
      <c r="J30" s="1304"/>
      <c r="K30" s="1304"/>
      <c r="L30" s="1304"/>
      <c r="M30" s="1304"/>
      <c r="N30" s="1304"/>
      <c r="O30" s="1304"/>
      <c r="P30" s="79" t="s">
        <v>180</v>
      </c>
      <c r="Q30" s="78"/>
      <c r="R30" s="78"/>
      <c r="S30" s="79" t="s">
        <v>91</v>
      </c>
      <c r="T30" s="79" t="s">
        <v>81</v>
      </c>
    </row>
    <row r="31" customFormat="false" ht="26.45" hidden="false" customHeight="false" outlineLevel="0" collapsed="false">
      <c r="B31" s="853"/>
      <c r="C31" s="1312" t="s">
        <v>648</v>
      </c>
      <c r="D31" s="862" t="s">
        <v>588</v>
      </c>
      <c r="E31" s="862" t="s">
        <v>589</v>
      </c>
      <c r="F31" s="1313" t="s">
        <v>416</v>
      </c>
      <c r="G31" s="905"/>
      <c r="H31" s="1304"/>
      <c r="I31" s="1304"/>
      <c r="J31" s="1304"/>
      <c r="K31" s="1304"/>
      <c r="L31" s="1304"/>
      <c r="M31" s="1304"/>
      <c r="N31" s="1304"/>
      <c r="O31" s="1304"/>
      <c r="P31" s="79" t="s">
        <v>181</v>
      </c>
      <c r="Q31" s="78"/>
      <c r="R31" s="78"/>
      <c r="S31" s="78"/>
      <c r="T31" s="79" t="s">
        <v>83</v>
      </c>
    </row>
    <row r="32" customFormat="false" ht="14.25" hidden="false" customHeight="false" outlineLevel="0" collapsed="false">
      <c r="B32" s="853"/>
      <c r="C32" s="1314"/>
      <c r="D32" s="889"/>
      <c r="E32" s="890"/>
      <c r="F32" s="1309"/>
      <c r="G32" s="869"/>
      <c r="H32" s="1304"/>
      <c r="I32" s="1304"/>
      <c r="J32" s="1304"/>
      <c r="K32" s="1304"/>
      <c r="L32" s="1304"/>
      <c r="M32" s="1304"/>
      <c r="N32" s="1304"/>
      <c r="O32" s="1304"/>
      <c r="P32" s="79" t="s">
        <v>76</v>
      </c>
      <c r="Q32" s="78"/>
      <c r="R32" s="78"/>
      <c r="S32" s="78"/>
      <c r="T32" s="79" t="s">
        <v>85</v>
      </c>
    </row>
    <row r="33" customFormat="false" ht="14.25" hidden="false" customHeight="false" outlineLevel="0" collapsed="false">
      <c r="B33" s="853"/>
      <c r="C33" s="1305"/>
      <c r="D33" s="871"/>
      <c r="E33" s="872"/>
      <c r="F33" s="1307"/>
      <c r="G33" s="869"/>
      <c r="H33" s="1304"/>
      <c r="I33" s="1304"/>
      <c r="J33" s="1304"/>
      <c r="K33" s="1304"/>
      <c r="L33" s="1304"/>
      <c r="M33" s="1304"/>
      <c r="N33" s="1304"/>
      <c r="O33" s="1304"/>
      <c r="P33" s="79" t="s">
        <v>78</v>
      </c>
      <c r="Q33" s="78"/>
      <c r="R33" s="78"/>
      <c r="S33" s="78"/>
      <c r="T33" s="79" t="s">
        <v>86</v>
      </c>
    </row>
    <row r="34" customFormat="false" ht="14.25" hidden="false" customHeight="false" outlineLevel="0" collapsed="false">
      <c r="B34" s="853"/>
      <c r="C34" s="1305"/>
      <c r="D34" s="871"/>
      <c r="E34" s="872"/>
      <c r="F34" s="1307"/>
      <c r="G34" s="869"/>
      <c r="H34" s="1304"/>
      <c r="I34" s="1304"/>
      <c r="J34" s="1304"/>
      <c r="K34" s="1304"/>
      <c r="L34" s="1304"/>
      <c r="M34" s="1304"/>
      <c r="N34" s="1304"/>
      <c r="O34" s="1304"/>
      <c r="P34" s="79" t="s">
        <v>79</v>
      </c>
      <c r="Q34" s="78"/>
      <c r="R34" s="78"/>
      <c r="S34" s="78"/>
      <c r="T34" s="79" t="s">
        <v>87</v>
      </c>
    </row>
    <row r="35" customFormat="false" ht="14.25" hidden="false" customHeight="false" outlineLevel="0" collapsed="false">
      <c r="B35" s="853"/>
      <c r="C35" s="1305"/>
      <c r="D35" s="871"/>
      <c r="E35" s="872"/>
      <c r="F35" s="1307"/>
      <c r="G35" s="869"/>
      <c r="H35" s="1304"/>
      <c r="I35" s="1304"/>
      <c r="J35" s="1304"/>
      <c r="K35" s="1304"/>
      <c r="L35" s="1304"/>
      <c r="M35" s="1304"/>
      <c r="N35" s="1304"/>
      <c r="O35" s="1304"/>
      <c r="P35" s="79" t="s">
        <v>81</v>
      </c>
      <c r="Q35" s="78"/>
      <c r="R35" s="78"/>
      <c r="S35" s="78"/>
      <c r="T35" s="79" t="s">
        <v>89</v>
      </c>
    </row>
    <row r="36" customFormat="false" ht="14.25" hidden="false" customHeight="false" outlineLevel="0" collapsed="false">
      <c r="B36" s="853"/>
      <c r="C36" s="1305"/>
      <c r="D36" s="871"/>
      <c r="E36" s="872"/>
      <c r="F36" s="1307"/>
      <c r="G36" s="869"/>
      <c r="H36" s="1304"/>
      <c r="I36" s="1304"/>
      <c r="J36" s="1304"/>
      <c r="K36" s="1304"/>
      <c r="L36" s="1304"/>
      <c r="M36" s="1304"/>
      <c r="N36" s="1304"/>
      <c r="O36" s="1304"/>
      <c r="P36" s="79" t="s">
        <v>83</v>
      </c>
      <c r="Q36" s="78"/>
      <c r="R36" s="78"/>
      <c r="S36" s="78"/>
      <c r="T36" s="79" t="s">
        <v>90</v>
      </c>
    </row>
    <row r="37" customFormat="false" ht="14.25" hidden="false" customHeight="false" outlineLevel="0" collapsed="false">
      <c r="B37" s="853"/>
      <c r="C37" s="1305"/>
      <c r="D37" s="871"/>
      <c r="E37" s="872"/>
      <c r="F37" s="1307"/>
      <c r="G37" s="869"/>
      <c r="H37" s="1304"/>
      <c r="I37" s="1304"/>
      <c r="J37" s="1304"/>
      <c r="K37" s="1304"/>
      <c r="L37" s="1304"/>
      <c r="M37" s="1304"/>
      <c r="N37" s="1304"/>
      <c r="O37" s="1304"/>
      <c r="P37" s="79" t="s">
        <v>85</v>
      </c>
      <c r="Q37" s="78"/>
      <c r="R37" s="78"/>
      <c r="S37" s="78"/>
      <c r="T37" s="79" t="s">
        <v>192</v>
      </c>
    </row>
    <row r="38" customFormat="false" ht="14.25" hidden="false" customHeight="false" outlineLevel="0" collapsed="false">
      <c r="B38" s="853"/>
      <c r="C38" s="1305"/>
      <c r="D38" s="871"/>
      <c r="E38" s="872"/>
      <c r="F38" s="1307"/>
      <c r="G38" s="869"/>
      <c r="H38" s="1304"/>
      <c r="I38" s="1304"/>
      <c r="J38" s="1304"/>
      <c r="K38" s="1304"/>
      <c r="L38" s="1304"/>
      <c r="M38" s="1304"/>
      <c r="N38" s="1304"/>
      <c r="O38" s="1304"/>
      <c r="P38" s="79" t="s">
        <v>86</v>
      </c>
      <c r="Q38" s="78"/>
      <c r="R38" s="78"/>
      <c r="S38" s="78"/>
      <c r="T38" s="79" t="s">
        <v>91</v>
      </c>
    </row>
    <row r="39" customFormat="false" ht="14.25" hidden="false" customHeight="false" outlineLevel="0" collapsed="false">
      <c r="B39" s="853"/>
      <c r="C39" s="1305"/>
      <c r="D39" s="871"/>
      <c r="E39" s="872"/>
      <c r="F39" s="1307"/>
      <c r="G39" s="869"/>
      <c r="H39" s="1304"/>
      <c r="I39" s="1304"/>
      <c r="J39" s="1304"/>
      <c r="K39" s="1304"/>
      <c r="L39" s="1304"/>
      <c r="M39" s="1304"/>
      <c r="N39" s="1304"/>
      <c r="O39" s="1304"/>
      <c r="P39" s="79" t="s">
        <v>87</v>
      </c>
      <c r="Q39" s="78"/>
      <c r="R39" s="78"/>
      <c r="S39" s="78"/>
      <c r="T39" s="79"/>
    </row>
    <row r="40" customFormat="false" ht="14.25" hidden="false" customHeight="false" outlineLevel="0" collapsed="false">
      <c r="B40" s="853"/>
      <c r="C40" s="1305"/>
      <c r="D40" s="871"/>
      <c r="E40" s="872"/>
      <c r="F40" s="1307"/>
      <c r="G40" s="869"/>
      <c r="H40" s="1304"/>
      <c r="I40" s="1304"/>
      <c r="J40" s="1304"/>
      <c r="K40" s="1304"/>
      <c r="L40" s="1304"/>
      <c r="M40" s="1304"/>
      <c r="N40" s="1304"/>
      <c r="O40" s="1304"/>
      <c r="P40" s="79" t="s">
        <v>89</v>
      </c>
      <c r="Q40" s="78"/>
      <c r="R40" s="78"/>
      <c r="S40" s="78"/>
      <c r="T40" s="78"/>
    </row>
    <row r="41" customFormat="false" ht="14.25" hidden="false" customHeight="false" outlineLevel="0" collapsed="false">
      <c r="B41" s="853"/>
      <c r="C41" s="1308"/>
      <c r="D41" s="889"/>
      <c r="E41" s="890"/>
      <c r="F41" s="1309"/>
      <c r="G41" s="869"/>
      <c r="H41" s="1304"/>
      <c r="I41" s="1304"/>
      <c r="J41" s="1304"/>
      <c r="K41" s="1304"/>
      <c r="L41" s="1304"/>
      <c r="M41" s="1304"/>
      <c r="N41" s="1304"/>
      <c r="O41" s="1304"/>
      <c r="P41" s="79" t="s">
        <v>90</v>
      </c>
      <c r="Q41" s="78"/>
      <c r="R41" s="78"/>
      <c r="S41" s="78"/>
      <c r="T41" s="117"/>
    </row>
    <row r="42" customFormat="false" ht="14.25" hidden="false" customHeight="false" outlineLevel="0" collapsed="false">
      <c r="B42" s="853"/>
      <c r="C42" s="894"/>
      <c r="D42" s="895"/>
      <c r="E42" s="896" t="s">
        <v>658</v>
      </c>
      <c r="F42" s="1315" t="n">
        <f aca="false">SUM(F32:F41)</f>
        <v>0</v>
      </c>
      <c r="G42" s="869"/>
      <c r="H42" s="1304"/>
      <c r="I42" s="1304"/>
      <c r="J42" s="1304"/>
      <c r="K42" s="1304"/>
      <c r="L42" s="1304"/>
      <c r="M42" s="1304"/>
      <c r="N42" s="1304"/>
      <c r="O42" s="1304"/>
      <c r="P42" s="79" t="s">
        <v>192</v>
      </c>
      <c r="Q42" s="78"/>
      <c r="R42" s="78"/>
      <c r="S42" s="78"/>
      <c r="T42" s="78"/>
    </row>
    <row r="43" customFormat="false" ht="26.45" hidden="false" customHeight="false" outlineLevel="0" collapsed="false">
      <c r="B43" s="853"/>
      <c r="C43" s="898" t="s">
        <v>659</v>
      </c>
      <c r="D43" s="899" t="s">
        <v>588</v>
      </c>
      <c r="E43" s="899" t="s">
        <v>589</v>
      </c>
      <c r="F43" s="1316" t="s">
        <v>416</v>
      </c>
      <c r="G43" s="905"/>
      <c r="H43" s="1304"/>
      <c r="I43" s="1304"/>
      <c r="J43" s="1304"/>
      <c r="K43" s="1304"/>
      <c r="L43" s="1304"/>
      <c r="M43" s="1304"/>
      <c r="N43" s="1304"/>
      <c r="O43" s="1304"/>
      <c r="P43" s="79" t="s">
        <v>91</v>
      </c>
      <c r="Q43" s="78"/>
      <c r="R43" s="78"/>
      <c r="S43" s="78"/>
      <c r="T43" s="78"/>
    </row>
    <row r="44" customFormat="false" ht="14.25" hidden="false" customHeight="false" outlineLevel="0" collapsed="false">
      <c r="B44" s="853"/>
      <c r="C44" s="1314"/>
      <c r="D44" s="889"/>
      <c r="E44" s="890"/>
      <c r="F44" s="1309"/>
      <c r="G44" s="869"/>
      <c r="H44" s="1304"/>
      <c r="I44" s="1304"/>
      <c r="J44" s="1304"/>
      <c r="K44" s="1304"/>
      <c r="L44" s="1304"/>
      <c r="M44" s="1304"/>
      <c r="N44" s="1304"/>
      <c r="O44" s="1304"/>
      <c r="P44" s="78"/>
      <c r="Q44" s="78"/>
      <c r="R44" s="78"/>
      <c r="S44" s="78"/>
      <c r="T44" s="78"/>
    </row>
    <row r="45" customFormat="false" ht="14.25" hidden="false" customHeight="false" outlineLevel="0" collapsed="false">
      <c r="B45" s="853"/>
      <c r="C45" s="1305"/>
      <c r="D45" s="871"/>
      <c r="E45" s="872"/>
      <c r="F45" s="1307"/>
      <c r="G45" s="869"/>
      <c r="H45" s="1304"/>
      <c r="I45" s="1304"/>
      <c r="J45" s="1304"/>
      <c r="K45" s="1304"/>
      <c r="L45" s="1304"/>
      <c r="M45" s="1304"/>
      <c r="N45" s="1304"/>
      <c r="O45" s="1304"/>
      <c r="P45" s="78"/>
      <c r="Q45" s="78"/>
      <c r="R45" s="78"/>
      <c r="S45" s="78"/>
      <c r="T45" s="78"/>
    </row>
    <row r="46" customFormat="false" ht="14.25" hidden="false" customHeight="false" outlineLevel="0" collapsed="false">
      <c r="B46" s="853"/>
      <c r="C46" s="1305"/>
      <c r="D46" s="871"/>
      <c r="E46" s="872"/>
      <c r="F46" s="1307"/>
      <c r="G46" s="869"/>
      <c r="H46" s="1304"/>
      <c r="I46" s="1304"/>
      <c r="J46" s="1304"/>
      <c r="K46" s="1304"/>
      <c r="L46" s="1304"/>
      <c r="M46" s="1304"/>
      <c r="N46" s="1304"/>
      <c r="O46" s="1304"/>
      <c r="Q46" s="78"/>
      <c r="R46" s="78"/>
      <c r="S46" s="78"/>
      <c r="T46" s="78"/>
    </row>
    <row r="47" customFormat="false" ht="14.25" hidden="false" customHeight="false" outlineLevel="0" collapsed="false">
      <c r="B47" s="853"/>
      <c r="C47" s="1305"/>
      <c r="D47" s="871"/>
      <c r="E47" s="872"/>
      <c r="F47" s="1307"/>
      <c r="G47" s="869"/>
      <c r="H47" s="1304"/>
      <c r="I47" s="1304"/>
      <c r="J47" s="1304"/>
      <c r="K47" s="1304"/>
      <c r="L47" s="1304"/>
      <c r="M47" s="1304"/>
      <c r="N47" s="1304"/>
      <c r="O47" s="1304"/>
      <c r="Q47" s="78"/>
      <c r="R47" s="78"/>
      <c r="S47" s="78"/>
      <c r="T47" s="78"/>
    </row>
    <row r="48" customFormat="false" ht="14.25" hidden="false" customHeight="false" outlineLevel="0" collapsed="false">
      <c r="B48" s="853"/>
      <c r="C48" s="1314"/>
      <c r="D48" s="889"/>
      <c r="E48" s="890"/>
      <c r="F48" s="1309"/>
      <c r="G48" s="869"/>
      <c r="H48" s="1304"/>
      <c r="I48" s="1304"/>
      <c r="J48" s="1304"/>
      <c r="K48" s="1304"/>
      <c r="L48" s="1304"/>
      <c r="M48" s="1304"/>
      <c r="N48" s="1304"/>
      <c r="O48" s="1304"/>
      <c r="S48" s="78"/>
    </row>
    <row r="49" customFormat="false" ht="14.25" hidden="false" customHeight="false" outlineLevel="0" collapsed="false">
      <c r="B49" s="853"/>
      <c r="C49" s="1305"/>
      <c r="D49" s="871"/>
      <c r="E49" s="872"/>
      <c r="F49" s="1307"/>
      <c r="G49" s="869"/>
      <c r="S49" s="78"/>
    </row>
    <row r="50" customFormat="false" ht="14.25" hidden="false" customHeight="false" outlineLevel="0" collapsed="false">
      <c r="B50" s="853"/>
      <c r="C50" s="1305"/>
      <c r="D50" s="871"/>
      <c r="E50" s="872"/>
      <c r="F50" s="1307"/>
      <c r="G50" s="869"/>
    </row>
    <row r="51" customFormat="false" ht="14.25" hidden="false" customHeight="false" outlineLevel="0" collapsed="false">
      <c r="B51" s="853"/>
      <c r="C51" s="1305"/>
      <c r="D51" s="871"/>
      <c r="E51" s="872"/>
      <c r="F51" s="1307"/>
      <c r="G51" s="869"/>
    </row>
    <row r="52" customFormat="false" ht="14.25" hidden="false" customHeight="false" outlineLevel="0" collapsed="false">
      <c r="B52" s="853"/>
      <c r="C52" s="1305"/>
      <c r="D52" s="871"/>
      <c r="E52" s="872"/>
      <c r="F52" s="1307"/>
      <c r="G52" s="869"/>
    </row>
    <row r="53" customFormat="false" ht="14.25" hidden="false" customHeight="false" outlineLevel="0" collapsed="false">
      <c r="B53" s="853"/>
      <c r="C53" s="1308"/>
      <c r="D53" s="893"/>
      <c r="E53" s="1317"/>
      <c r="F53" s="1318"/>
      <c r="G53" s="869"/>
    </row>
    <row r="54" customFormat="false" ht="14.25" hidden="false" customHeight="false" outlineLevel="0" collapsed="false">
      <c r="B54" s="853"/>
      <c r="C54" s="876"/>
      <c r="D54" s="877"/>
      <c r="E54" s="878" t="s">
        <v>660</v>
      </c>
      <c r="F54" s="1310" t="n">
        <f aca="false">SUM(F44:F53)</f>
        <v>0</v>
      </c>
      <c r="G54" s="869"/>
    </row>
    <row r="55" customFormat="false" ht="14.25" hidden="false" customHeight="false" outlineLevel="0" collapsed="false">
      <c r="B55" s="853"/>
      <c r="C55" s="908" t="s">
        <v>935</v>
      </c>
      <c r="D55" s="908"/>
      <c r="E55" s="908"/>
      <c r="F55" s="908"/>
      <c r="G55" s="909"/>
    </row>
  </sheetData>
  <sheetProtection algorithmName="SHA-512" hashValue="mkBWIXQiD/7ZylLCv6q49LuC+wvLNNx9N+hyeonhJ58BEVszEhlKiTYHuYALH4hTtkt4Vc05kv3l4JtjaWgtFw==" saltValue="lNg1g9BcbNvdL91+0IVlzg==" spinCount="100000" sheet="true" objects="true" scenarios="true"/>
  <mergeCells count="5">
    <mergeCell ref="C3:F3"/>
    <mergeCell ref="C4:F4"/>
    <mergeCell ref="C6:F6"/>
    <mergeCell ref="C8:F8"/>
    <mergeCell ref="C55:F55"/>
  </mergeCell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0"/>
  <sheetViews>
    <sheetView showFormulas="false" showGridLines="true" showRowColHeaders="true" showZeros="true" rightToLeft="false" tabSelected="false" showOutlineSymbols="true" defaultGridColor="true" view="normal" topLeftCell="A66" colorId="64" zoomScale="100" zoomScaleNormal="100" zoomScalePageLayoutView="100" workbookViewId="0">
      <selection pane="topLeft" activeCell="H99" activeCellId="0" sqref="H99"/>
    </sheetView>
  </sheetViews>
  <sheetFormatPr defaultColWidth="8.75" defaultRowHeight="14.25" customHeight="false" zeroHeight="false" outlineLevelRow="0" outlineLevelCol="0"/>
  <cols>
    <col collapsed="false" customWidth="true" hidden="false" outlineLevel="0" max="1" min="1" style="0" width="28.5"/>
    <col collapsed="false" customWidth="true" hidden="false" outlineLevel="0" max="2" min="2" style="0" width="27.75"/>
    <col collapsed="false" customWidth="true" hidden="false" outlineLevel="0" max="3" min="3" style="0" width="17.13"/>
    <col collapsed="false" customWidth="true" hidden="false" outlineLevel="0" max="4" min="4" style="0" width="10.13"/>
  </cols>
  <sheetData>
    <row r="1" customFormat="false" ht="14.25" hidden="false" customHeight="true" outlineLevel="0" collapsed="false">
      <c r="A1" s="1052" t="s">
        <v>541</v>
      </c>
      <c r="B1" s="1065" t="s">
        <v>796</v>
      </c>
      <c r="C1" s="673" t="s">
        <v>797</v>
      </c>
      <c r="D1" s="1054" t="s">
        <v>416</v>
      </c>
    </row>
    <row r="2" customFormat="false" ht="14.25" hidden="false" customHeight="false" outlineLevel="0" collapsed="false">
      <c r="A2" s="1052"/>
      <c r="B2" s="1067" t="s">
        <v>794</v>
      </c>
      <c r="C2" s="673"/>
      <c r="D2" s="1054"/>
    </row>
    <row r="3" customFormat="false" ht="14.25" hidden="false" customHeight="false" outlineLevel="0" collapsed="false">
      <c r="A3" s="0" t="s">
        <v>582</v>
      </c>
      <c r="B3" s="1057" t="s">
        <v>798</v>
      </c>
      <c r="C3" s="1070" t="s">
        <v>936</v>
      </c>
      <c r="D3" s="1058" t="n">
        <v>8.29</v>
      </c>
    </row>
    <row r="4" customFormat="false" ht="14.25" hidden="false" customHeight="false" outlineLevel="0" collapsed="false">
      <c r="A4" s="0" t="s">
        <v>582</v>
      </c>
      <c r="B4" s="1070" t="s">
        <v>937</v>
      </c>
      <c r="C4" s="1070" t="s">
        <v>936</v>
      </c>
      <c r="D4" s="1059" t="n">
        <v>35.1</v>
      </c>
    </row>
    <row r="5" customFormat="false" ht="14.25" hidden="false" customHeight="false" outlineLevel="0" collapsed="false">
      <c r="A5" s="0" t="s">
        <v>582</v>
      </c>
      <c r="B5" s="1060" t="s">
        <v>938</v>
      </c>
      <c r="C5" s="927" t="s">
        <v>936</v>
      </c>
      <c r="D5" s="1059" t="n">
        <v>34.56</v>
      </c>
    </row>
    <row r="6" customFormat="false" ht="14.25" hidden="false" customHeight="false" outlineLevel="0" collapsed="false">
      <c r="A6" s="0" t="s">
        <v>582</v>
      </c>
      <c r="B6" s="1060" t="s">
        <v>939</v>
      </c>
      <c r="C6" s="927" t="s">
        <v>940</v>
      </c>
      <c r="D6" s="1059" t="n">
        <v>25</v>
      </c>
    </row>
    <row r="7" customFormat="false" ht="14.25" hidden="false" customHeight="false" outlineLevel="0" collapsed="false">
      <c r="A7" s="0" t="s">
        <v>582</v>
      </c>
      <c r="B7" s="1060" t="s">
        <v>798</v>
      </c>
      <c r="C7" s="927" t="s">
        <v>936</v>
      </c>
      <c r="D7" s="1059" t="n">
        <v>8.28</v>
      </c>
    </row>
    <row r="8" customFormat="false" ht="14.25" hidden="false" customHeight="false" outlineLevel="0" collapsed="false">
      <c r="A8" s="0" t="s">
        <v>582</v>
      </c>
      <c r="B8" s="1060" t="s">
        <v>800</v>
      </c>
      <c r="C8" s="927" t="s">
        <v>936</v>
      </c>
      <c r="D8" s="1059" t="n">
        <v>7.99</v>
      </c>
    </row>
    <row r="9" customFormat="false" ht="14.25" hidden="false" customHeight="false" outlineLevel="0" collapsed="false">
      <c r="A9" s="0" t="s">
        <v>582</v>
      </c>
      <c r="B9" s="1060" t="s">
        <v>798</v>
      </c>
      <c r="C9" s="927" t="s">
        <v>936</v>
      </c>
      <c r="D9" s="1059" t="n">
        <v>8.28</v>
      </c>
    </row>
    <row r="10" customFormat="false" ht="14.25" hidden="false" customHeight="false" outlineLevel="0" collapsed="false">
      <c r="A10" s="0" t="s">
        <v>582</v>
      </c>
      <c r="B10" s="1060" t="s">
        <v>800</v>
      </c>
      <c r="C10" s="927" t="s">
        <v>936</v>
      </c>
      <c r="D10" s="1059" t="n">
        <v>8.49</v>
      </c>
    </row>
    <row r="11" customFormat="false" ht="14.25" hidden="false" customHeight="false" outlineLevel="0" collapsed="false">
      <c r="A11" s="0" t="s">
        <v>582</v>
      </c>
      <c r="B11" s="1060" t="s">
        <v>937</v>
      </c>
      <c r="C11" s="927" t="s">
        <v>936</v>
      </c>
      <c r="D11" s="1059" t="n">
        <v>69.66</v>
      </c>
    </row>
    <row r="12" customFormat="false" ht="14.25" hidden="false" customHeight="true" outlineLevel="0" collapsed="false">
      <c r="A12" s="0" t="s">
        <v>551</v>
      </c>
      <c r="B12" s="1060" t="s">
        <v>941</v>
      </c>
      <c r="C12" s="927" t="s">
        <v>942</v>
      </c>
      <c r="D12" s="1059" t="n">
        <v>80</v>
      </c>
    </row>
    <row r="13" customFormat="false" ht="14.25" hidden="false" customHeight="false" outlineLevel="0" collapsed="false">
      <c r="A13" s="0" t="s">
        <v>582</v>
      </c>
      <c r="B13" s="1060" t="s">
        <v>937</v>
      </c>
      <c r="C13" s="927" t="s">
        <v>936</v>
      </c>
      <c r="D13" s="1059" t="n">
        <v>69.66</v>
      </c>
    </row>
    <row r="14" customFormat="false" ht="14.25" hidden="false" customHeight="false" outlineLevel="0" collapsed="false">
      <c r="A14" s="0" t="s">
        <v>582</v>
      </c>
      <c r="B14" s="1060" t="s">
        <v>798</v>
      </c>
      <c r="C14" s="927" t="s">
        <v>936</v>
      </c>
      <c r="D14" s="1059" t="n">
        <v>8.28</v>
      </c>
    </row>
    <row r="15" customFormat="false" ht="14.25" hidden="false" customHeight="false" outlineLevel="0" collapsed="false">
      <c r="A15" s="0" t="s">
        <v>582</v>
      </c>
      <c r="B15" s="1060" t="s">
        <v>800</v>
      </c>
      <c r="C15" s="927" t="s">
        <v>936</v>
      </c>
      <c r="D15" s="1059" t="n">
        <v>8.49</v>
      </c>
    </row>
    <row r="16" customFormat="false" ht="14.25" hidden="false" customHeight="false" outlineLevel="0" collapsed="false">
      <c r="A16" s="0" t="s">
        <v>582</v>
      </c>
      <c r="B16" s="1060" t="s">
        <v>937</v>
      </c>
      <c r="C16" s="927" t="s">
        <v>936</v>
      </c>
      <c r="D16" s="1059" t="n">
        <v>69.66</v>
      </c>
    </row>
    <row r="17" customFormat="false" ht="14.25" hidden="false" customHeight="false" outlineLevel="0" collapsed="false">
      <c r="A17" s="0" t="s">
        <v>582</v>
      </c>
      <c r="B17" s="1060" t="s">
        <v>943</v>
      </c>
      <c r="C17" s="927" t="s">
        <v>936</v>
      </c>
      <c r="D17" s="1059" t="n">
        <v>164.97</v>
      </c>
    </row>
    <row r="18" customFormat="false" ht="14.25" hidden="false" customHeight="false" outlineLevel="0" collapsed="false">
      <c r="A18" s="0" t="s">
        <v>582</v>
      </c>
      <c r="B18" s="1060" t="s">
        <v>798</v>
      </c>
      <c r="C18" s="927" t="s">
        <v>936</v>
      </c>
      <c r="D18" s="1059" t="n">
        <v>8.28</v>
      </c>
    </row>
    <row r="19" customFormat="false" ht="14.25" hidden="false" customHeight="false" outlineLevel="0" collapsed="false">
      <c r="A19" s="0" t="s">
        <v>582</v>
      </c>
      <c r="B19" s="1060" t="s">
        <v>800</v>
      </c>
      <c r="C19" s="927" t="s">
        <v>936</v>
      </c>
      <c r="D19" s="1059" t="n">
        <v>8.49</v>
      </c>
    </row>
    <row r="20" customFormat="false" ht="14.25" hidden="false" customHeight="false" outlineLevel="0" collapsed="false">
      <c r="A20" s="0" t="s">
        <v>582</v>
      </c>
      <c r="B20" s="1060" t="s">
        <v>798</v>
      </c>
      <c r="C20" s="927" t="s">
        <v>936</v>
      </c>
      <c r="D20" s="1059" t="n">
        <v>8.29</v>
      </c>
    </row>
    <row r="21" customFormat="false" ht="14.25" hidden="false" customHeight="false" outlineLevel="0" collapsed="false">
      <c r="A21" s="0" t="s">
        <v>582</v>
      </c>
      <c r="B21" s="1060" t="s">
        <v>800</v>
      </c>
      <c r="C21" s="927" t="s">
        <v>936</v>
      </c>
      <c r="D21" s="1059" t="n">
        <v>8.49</v>
      </c>
    </row>
    <row r="22" customFormat="false" ht="14.25" hidden="false" customHeight="false" outlineLevel="0" collapsed="false">
      <c r="A22" s="0" t="s">
        <v>582</v>
      </c>
      <c r="B22" s="1060" t="s">
        <v>937</v>
      </c>
      <c r="C22" s="927" t="s">
        <v>936</v>
      </c>
      <c r="D22" s="1059" t="n">
        <v>35.1</v>
      </c>
    </row>
    <row r="23" customFormat="false" ht="14.25" hidden="false" customHeight="false" outlineLevel="0" collapsed="false">
      <c r="A23" s="0" t="s">
        <v>582</v>
      </c>
      <c r="B23" s="1060" t="s">
        <v>938</v>
      </c>
      <c r="C23" s="927" t="s">
        <v>936</v>
      </c>
      <c r="D23" s="1059" t="n">
        <v>34.56</v>
      </c>
    </row>
    <row r="24" customFormat="false" ht="14.25" hidden="false" customHeight="false" outlineLevel="0" collapsed="false">
      <c r="A24" s="0" t="s">
        <v>582</v>
      </c>
      <c r="B24" s="1060" t="s">
        <v>798</v>
      </c>
      <c r="C24" s="927" t="s">
        <v>936</v>
      </c>
      <c r="D24" s="1059" t="n">
        <v>8.28</v>
      </c>
    </row>
    <row r="25" customFormat="false" ht="14.25" hidden="false" customHeight="false" outlineLevel="0" collapsed="false">
      <c r="A25" s="0" t="s">
        <v>582</v>
      </c>
      <c r="B25" s="1060" t="s">
        <v>800</v>
      </c>
      <c r="C25" s="927" t="s">
        <v>936</v>
      </c>
      <c r="D25" s="1059" t="n">
        <v>8.49</v>
      </c>
    </row>
    <row r="26" customFormat="false" ht="14.25" hidden="false" customHeight="false" outlineLevel="0" collapsed="false">
      <c r="A26" s="0" t="s">
        <v>582</v>
      </c>
      <c r="B26" s="1060" t="s">
        <v>937</v>
      </c>
      <c r="C26" s="927" t="s">
        <v>936</v>
      </c>
      <c r="D26" s="1059" t="n">
        <v>42.5</v>
      </c>
    </row>
    <row r="27" customFormat="false" ht="14.25" hidden="false" customHeight="false" outlineLevel="0" collapsed="false">
      <c r="A27" s="0" t="s">
        <v>582</v>
      </c>
      <c r="B27" s="1060" t="s">
        <v>938</v>
      </c>
      <c r="C27" s="927" t="s">
        <v>936</v>
      </c>
      <c r="D27" s="1059" t="n">
        <v>34.56</v>
      </c>
    </row>
    <row r="28" customFormat="false" ht="14.25" hidden="false" customHeight="false" outlineLevel="0" collapsed="false">
      <c r="A28" s="0" t="s">
        <v>582</v>
      </c>
      <c r="B28" s="1060" t="s">
        <v>937</v>
      </c>
      <c r="C28" s="927" t="s">
        <v>936</v>
      </c>
      <c r="D28" s="1059" t="n">
        <v>44.82</v>
      </c>
    </row>
    <row r="29" customFormat="false" ht="14.25" hidden="false" customHeight="false" outlineLevel="0" collapsed="false">
      <c r="A29" s="0" t="s">
        <v>582</v>
      </c>
      <c r="B29" s="1060" t="s">
        <v>938</v>
      </c>
      <c r="C29" s="927" t="s">
        <v>936</v>
      </c>
      <c r="D29" s="1059" t="n">
        <v>34.57</v>
      </c>
    </row>
    <row r="30" customFormat="false" ht="14.25" hidden="false" customHeight="false" outlineLevel="0" collapsed="false">
      <c r="B30" s="1060" t="s">
        <v>798</v>
      </c>
      <c r="C30" s="927" t="s">
        <v>936</v>
      </c>
      <c r="D30" s="1059" t="n">
        <v>8.28</v>
      </c>
    </row>
    <row r="31" customFormat="false" ht="14.25" hidden="false" customHeight="false" outlineLevel="0" collapsed="false">
      <c r="B31" s="1060" t="s">
        <v>800</v>
      </c>
      <c r="C31" s="927" t="s">
        <v>936</v>
      </c>
      <c r="D31" s="1059" t="n">
        <v>8.49</v>
      </c>
    </row>
    <row r="32" customFormat="false" ht="14.25" hidden="false" customHeight="false" outlineLevel="0" collapsed="false">
      <c r="B32" s="1060" t="s">
        <v>937</v>
      </c>
      <c r="C32" s="927" t="s">
        <v>936</v>
      </c>
      <c r="D32" s="1059" t="n">
        <v>44.82</v>
      </c>
    </row>
    <row r="33" customFormat="false" ht="14.25" hidden="false" customHeight="false" outlineLevel="0" collapsed="false">
      <c r="A33" s="0" t="s">
        <v>582</v>
      </c>
      <c r="B33" s="1060" t="s">
        <v>938</v>
      </c>
      <c r="C33" s="927" t="s">
        <v>936</v>
      </c>
      <c r="D33" s="1059" t="n">
        <v>34.56</v>
      </c>
    </row>
    <row r="34" customFormat="false" ht="14.25" hidden="false" customHeight="false" outlineLevel="0" collapsed="false">
      <c r="B34" s="1060" t="s">
        <v>798</v>
      </c>
      <c r="C34" s="927" t="s">
        <v>936</v>
      </c>
      <c r="D34" s="1319" t="n">
        <v>8.28</v>
      </c>
    </row>
    <row r="35" customFormat="false" ht="14.25" hidden="false" customHeight="false" outlineLevel="0" collapsed="false">
      <c r="B35" s="1060" t="s">
        <v>800</v>
      </c>
      <c r="C35" s="927" t="s">
        <v>936</v>
      </c>
      <c r="D35" s="1319" t="n">
        <v>8.49</v>
      </c>
    </row>
    <row r="36" customFormat="false" ht="14.25" hidden="false" customHeight="false" outlineLevel="0" collapsed="false">
      <c r="A36" s="0" t="s">
        <v>944</v>
      </c>
      <c r="B36" s="1320"/>
      <c r="C36" s="1320"/>
      <c r="D36" s="1321" t="n">
        <f aca="false">SUM(D3:D35)</f>
        <v>996.06</v>
      </c>
    </row>
    <row r="37" customFormat="false" ht="14.25" hidden="false" customHeight="false" outlineLevel="0" collapsed="false">
      <c r="H37" s="1322"/>
    </row>
    <row r="50" customFormat="false" ht="14.25" hidden="false" customHeight="false" outlineLevel="0" collapsed="false">
      <c r="A50" s="826" t="s">
        <v>586</v>
      </c>
      <c r="B50" s="817"/>
      <c r="C50" s="812"/>
      <c r="D50" s="812"/>
    </row>
    <row r="51" customFormat="false" ht="14.25" hidden="false" customHeight="false" outlineLevel="0" collapsed="false">
      <c r="A51" s="1323" t="s">
        <v>587</v>
      </c>
      <c r="B51" s="1324" t="s">
        <v>588</v>
      </c>
      <c r="C51" s="1324" t="s">
        <v>589</v>
      </c>
      <c r="D51" s="1325" t="s">
        <v>416</v>
      </c>
    </row>
    <row r="52" customFormat="false" ht="14.25" hidden="false" customHeight="false" outlineLevel="0" collapsed="false">
      <c r="A52" s="1320" t="s">
        <v>945</v>
      </c>
      <c r="B52" s="1320" t="n">
        <v>1049</v>
      </c>
      <c r="C52" s="1326" t="n">
        <v>45846</v>
      </c>
      <c r="D52" s="1327" t="n">
        <v>210</v>
      </c>
    </row>
    <row r="53" customFormat="false" ht="14.25" hidden="false" customHeight="false" outlineLevel="0" collapsed="false">
      <c r="A53" s="0" t="s">
        <v>605</v>
      </c>
      <c r="B53" s="0" t="n">
        <v>4017</v>
      </c>
      <c r="C53" s="1328" t="n">
        <v>45860</v>
      </c>
      <c r="D53" s="0" t="n">
        <v>710</v>
      </c>
    </row>
    <row r="54" customFormat="false" ht="14.25" hidden="false" customHeight="false" outlineLevel="0" collapsed="false">
      <c r="A54" s="1320" t="s">
        <v>946</v>
      </c>
      <c r="B54" s="1320" t="n">
        <v>866</v>
      </c>
      <c r="C54" s="1326" t="n">
        <v>45867</v>
      </c>
      <c r="D54" s="1327" t="n">
        <v>150</v>
      </c>
    </row>
    <row r="55" customFormat="false" ht="14.25" hidden="false" customHeight="false" outlineLevel="0" collapsed="false">
      <c r="A55" s="1320" t="s">
        <v>947</v>
      </c>
      <c r="B55" s="1320" t="n">
        <v>5231</v>
      </c>
      <c r="C55" s="1326" t="n">
        <v>45908</v>
      </c>
      <c r="D55" s="1327" t="n">
        <v>350</v>
      </c>
    </row>
    <row r="56" customFormat="false" ht="14.25" hidden="false" customHeight="false" outlineLevel="0" collapsed="false">
      <c r="A56" s="1320" t="s">
        <v>948</v>
      </c>
      <c r="B56" s="1329" t="n">
        <v>1326</v>
      </c>
      <c r="C56" s="1330" t="n">
        <v>45908</v>
      </c>
      <c r="D56" s="1327" t="n">
        <v>10</v>
      </c>
    </row>
    <row r="57" customFormat="false" ht="14.25" hidden="false" customHeight="false" outlineLevel="0" collapsed="false">
      <c r="A57" s="1329" t="s">
        <v>945</v>
      </c>
      <c r="B57" s="1329" t="n">
        <v>1060</v>
      </c>
      <c r="C57" s="1330" t="n">
        <v>45932</v>
      </c>
      <c r="D57" s="1327" t="n">
        <v>410</v>
      </c>
    </row>
    <row r="58" customFormat="false" ht="14.25" hidden="false" customHeight="false" outlineLevel="0" collapsed="false">
      <c r="A58" s="1329" t="s">
        <v>614</v>
      </c>
      <c r="B58" s="1329" t="n">
        <v>1600</v>
      </c>
      <c r="C58" s="1330" t="n">
        <v>45944</v>
      </c>
      <c r="D58" s="1327" t="n">
        <v>180</v>
      </c>
    </row>
    <row r="59" customFormat="false" ht="14.25" hidden="false" customHeight="false" outlineLevel="0" collapsed="false">
      <c r="A59" s="1329" t="s">
        <v>949</v>
      </c>
      <c r="B59" s="1329" t="n">
        <v>1097</v>
      </c>
      <c r="C59" s="1330" t="n">
        <v>45920</v>
      </c>
      <c r="D59" s="1327" t="n">
        <v>530</v>
      </c>
    </row>
    <row r="60" customFormat="false" ht="14.25" hidden="false" customHeight="false" outlineLevel="0" collapsed="false">
      <c r="A60" s="1329" t="s">
        <v>950</v>
      </c>
      <c r="B60" s="1329" t="n">
        <v>1135</v>
      </c>
      <c r="C60" s="1330" t="n">
        <v>45945</v>
      </c>
      <c r="D60" s="1327" t="n">
        <v>480</v>
      </c>
    </row>
    <row r="61" customFormat="false" ht="14.25" hidden="false" customHeight="false" outlineLevel="0" collapsed="false">
      <c r="A61" s="1329" t="s">
        <v>947</v>
      </c>
      <c r="B61" s="1329" t="n">
        <v>5239</v>
      </c>
      <c r="C61" s="1330" t="n">
        <v>45951</v>
      </c>
      <c r="D61" s="1327" t="n">
        <v>160</v>
      </c>
    </row>
    <row r="62" customFormat="false" ht="14.25" hidden="false" customHeight="false" outlineLevel="0" collapsed="false">
      <c r="A62" s="1329" t="s">
        <v>947</v>
      </c>
      <c r="B62" s="1329" t="n">
        <v>5240</v>
      </c>
      <c r="C62" s="1330" t="n">
        <v>45951</v>
      </c>
      <c r="D62" s="1327" t="n">
        <v>1065.61</v>
      </c>
    </row>
    <row r="63" customFormat="false" ht="14.25" hidden="false" customHeight="false" outlineLevel="0" collapsed="false">
      <c r="A63" s="1320" t="s">
        <v>625</v>
      </c>
      <c r="B63" s="1320" t="n">
        <v>1153</v>
      </c>
      <c r="C63" s="1326" t="n">
        <v>45964</v>
      </c>
      <c r="D63" s="1327" t="n">
        <v>230</v>
      </c>
    </row>
    <row r="64" customFormat="false" ht="14.25" hidden="false" customHeight="false" outlineLevel="0" collapsed="false">
      <c r="A64" s="1329" t="s">
        <v>417</v>
      </c>
      <c r="B64" s="1329" t="n">
        <v>1143</v>
      </c>
      <c r="C64" s="1330" t="n">
        <v>45958</v>
      </c>
      <c r="D64" s="1329" t="n">
        <v>300</v>
      </c>
    </row>
    <row r="65" customFormat="false" ht="14.25" hidden="false" customHeight="false" outlineLevel="0" collapsed="false">
      <c r="A65" s="1329" t="s">
        <v>945</v>
      </c>
      <c r="B65" s="1329" t="n">
        <v>1061</v>
      </c>
      <c r="C65" s="1330" t="n">
        <v>45949</v>
      </c>
      <c r="D65" s="1329" t="n">
        <v>2692.55</v>
      </c>
    </row>
    <row r="66" customFormat="false" ht="14.25" hidden="false" customHeight="false" outlineLevel="0" collapsed="false">
      <c r="A66" s="1329" t="s">
        <v>951</v>
      </c>
      <c r="B66" s="1329" t="n">
        <v>260</v>
      </c>
      <c r="C66" s="1329" t="s">
        <v>952</v>
      </c>
      <c r="D66" s="1329" t="n">
        <v>50</v>
      </c>
    </row>
    <row r="67" customFormat="false" ht="14.25" hidden="false" customHeight="false" outlineLevel="0" collapsed="false">
      <c r="A67" s="1329" t="s">
        <v>600</v>
      </c>
      <c r="B67" s="1329" t="n">
        <v>169</v>
      </c>
      <c r="C67" s="1330" t="n">
        <v>45975</v>
      </c>
      <c r="D67" s="1329" t="n">
        <v>100</v>
      </c>
    </row>
    <row r="68" customFormat="false" ht="14.25" hidden="false" customHeight="false" outlineLevel="0" collapsed="false">
      <c r="A68" s="1329" t="s">
        <v>596</v>
      </c>
      <c r="B68" s="1329" t="n">
        <v>1098</v>
      </c>
      <c r="C68" s="1330" t="n">
        <v>45945</v>
      </c>
      <c r="D68" s="1329" t="n">
        <v>1306</v>
      </c>
    </row>
    <row r="69" customFormat="false" ht="14.25" hidden="false" customHeight="false" outlineLevel="0" collapsed="false">
      <c r="A69" s="1320" t="s">
        <v>592</v>
      </c>
      <c r="B69" s="1320" t="n">
        <v>3208</v>
      </c>
      <c r="C69" s="1326" t="n">
        <v>45994</v>
      </c>
      <c r="D69" s="1327" t="n">
        <v>10</v>
      </c>
    </row>
    <row r="70" customFormat="false" ht="14.25" hidden="false" customHeight="false" outlineLevel="0" collapsed="false">
      <c r="A70" s="1320" t="s">
        <v>951</v>
      </c>
      <c r="B70" s="1320" t="n">
        <v>110</v>
      </c>
      <c r="C70" s="1326" t="n">
        <v>46010</v>
      </c>
      <c r="D70" s="1327" t="n">
        <v>310</v>
      </c>
    </row>
    <row r="71" customFormat="false" ht="14.25" hidden="false" customHeight="false" outlineLevel="0" collapsed="false">
      <c r="A71" s="1320" t="s">
        <v>953</v>
      </c>
      <c r="B71" s="1320" t="n">
        <v>98428041</v>
      </c>
      <c r="C71" s="1326" t="n">
        <v>46013</v>
      </c>
      <c r="D71" s="1327" t="n">
        <v>238.78</v>
      </c>
    </row>
    <row r="72" customFormat="false" ht="14.25" hidden="false" customHeight="false" outlineLevel="0" collapsed="false">
      <c r="A72" s="1320" t="s">
        <v>954</v>
      </c>
      <c r="B72" s="1320" t="n">
        <v>116</v>
      </c>
      <c r="C72" s="1326" t="n">
        <v>45979</v>
      </c>
      <c r="D72" s="1327" t="n">
        <v>200</v>
      </c>
    </row>
    <row r="73" customFormat="false" ht="14.25" hidden="false" customHeight="false" outlineLevel="0" collapsed="false">
      <c r="A73" s="1320" t="s">
        <v>417</v>
      </c>
      <c r="B73" s="1320" t="n">
        <v>1141</v>
      </c>
      <c r="C73" s="1326" t="n">
        <v>45950</v>
      </c>
      <c r="D73" s="1327" t="n">
        <v>200</v>
      </c>
    </row>
    <row r="75" customFormat="false" ht="14.25" hidden="false" customHeight="false" outlineLevel="0" collapsed="false">
      <c r="A75" s="1320" t="s">
        <v>955</v>
      </c>
      <c r="B75" s="1320"/>
      <c r="C75" s="1320"/>
      <c r="D75" s="1321" t="n">
        <f aca="false">SUM(D52:D74)</f>
        <v>9892.94</v>
      </c>
    </row>
    <row r="77" customFormat="false" ht="14.25" hidden="false" customHeight="false" outlineLevel="0" collapsed="false">
      <c r="A77" s="0" t="s">
        <v>956</v>
      </c>
    </row>
    <row r="78" customFormat="false" ht="14.25" hidden="false" customHeight="false" outlineLevel="0" collapsed="false">
      <c r="A78" s="1331" t="s">
        <v>711</v>
      </c>
      <c r="B78" s="1332" t="s">
        <v>423</v>
      </c>
      <c r="C78" s="1333" t="s">
        <v>588</v>
      </c>
      <c r="D78" s="1334" t="s">
        <v>589</v>
      </c>
      <c r="E78" s="1335" t="s">
        <v>416</v>
      </c>
    </row>
    <row r="79" customFormat="false" ht="14.25" hidden="false" customHeight="false" outlineLevel="0" collapsed="false">
      <c r="A79" s="1329" t="s">
        <v>957</v>
      </c>
      <c r="B79" s="1329" t="s">
        <v>958</v>
      </c>
      <c r="C79" s="1329" t="n">
        <v>1493</v>
      </c>
      <c r="D79" s="1330" t="n">
        <v>45935</v>
      </c>
      <c r="E79" s="1336" t="n">
        <v>120</v>
      </c>
    </row>
    <row r="80" customFormat="false" ht="14.25" hidden="false" customHeight="false" outlineLevel="0" collapsed="false">
      <c r="A80" s="1329" t="s">
        <v>778</v>
      </c>
      <c r="B80" s="1329" t="s">
        <v>959</v>
      </c>
      <c r="C80" s="1329" t="n">
        <v>1680</v>
      </c>
      <c r="D80" s="1330" t="n">
        <v>45957</v>
      </c>
      <c r="E80" s="1336" t="n">
        <v>40</v>
      </c>
    </row>
    <row r="81" customFormat="false" ht="14.25" hidden="false" customHeight="false" outlineLevel="0" collapsed="false">
      <c r="A81" s="1329" t="s">
        <v>740</v>
      </c>
      <c r="B81" s="1329" t="s">
        <v>960</v>
      </c>
      <c r="C81" s="1329" t="n">
        <v>1570</v>
      </c>
      <c r="D81" s="1330" t="n">
        <v>45962</v>
      </c>
      <c r="E81" s="1336" t="n">
        <v>250</v>
      </c>
    </row>
    <row r="82" customFormat="false" ht="14.25" hidden="false" customHeight="false" outlineLevel="0" collapsed="false">
      <c r="A82" s="1329" t="s">
        <v>961</v>
      </c>
      <c r="B82" s="1329" t="s">
        <v>962</v>
      </c>
      <c r="C82" s="1329" t="n">
        <v>2068</v>
      </c>
      <c r="D82" s="1330" t="n">
        <v>45956</v>
      </c>
      <c r="E82" s="1336" t="n">
        <v>814.94</v>
      </c>
    </row>
    <row r="83" customFormat="false" ht="14.25" hidden="false" customHeight="false" outlineLevel="0" collapsed="false">
      <c r="A83" s="1329" t="s">
        <v>961</v>
      </c>
      <c r="B83" s="1329" t="s">
        <v>963</v>
      </c>
      <c r="C83" s="1329" t="n">
        <v>2069</v>
      </c>
      <c r="D83" s="1330" t="n">
        <v>45956</v>
      </c>
      <c r="E83" s="1336" t="n">
        <v>140</v>
      </c>
    </row>
    <row r="84" customFormat="false" ht="14.25" hidden="false" customHeight="false" outlineLevel="0" collapsed="false">
      <c r="A84" s="1329" t="s">
        <v>964</v>
      </c>
      <c r="B84" s="1329" t="s">
        <v>965</v>
      </c>
      <c r="C84" s="1329" t="n">
        <v>1539</v>
      </c>
      <c r="D84" s="1330" t="n">
        <v>45988</v>
      </c>
      <c r="E84" s="1336" t="n">
        <v>100</v>
      </c>
    </row>
    <row r="85" customFormat="false" ht="14.25" hidden="false" customHeight="false" outlineLevel="0" collapsed="false">
      <c r="A85" s="1329" t="s">
        <v>755</v>
      </c>
      <c r="B85" s="1329" t="s">
        <v>966</v>
      </c>
      <c r="C85" s="1329" t="n">
        <v>1466</v>
      </c>
      <c r="D85" s="1330" t="n">
        <v>45992</v>
      </c>
      <c r="E85" s="1336" t="n">
        <v>10</v>
      </c>
    </row>
    <row r="86" customFormat="false" ht="14.25" hidden="false" customHeight="false" outlineLevel="0" collapsed="false">
      <c r="A86" s="1329" t="s">
        <v>967</v>
      </c>
      <c r="B86" s="1329" t="s">
        <v>968</v>
      </c>
      <c r="C86" s="1329" t="n">
        <v>109</v>
      </c>
      <c r="D86" s="1330" t="n">
        <v>45996</v>
      </c>
      <c r="E86" s="1336" t="n">
        <v>140</v>
      </c>
    </row>
    <row r="87" customFormat="false" ht="14.25" hidden="false" customHeight="false" outlineLevel="0" collapsed="false">
      <c r="A87" s="1320" t="s">
        <v>749</v>
      </c>
      <c r="B87" s="1320" t="s">
        <v>969</v>
      </c>
      <c r="C87" s="1326" t="n">
        <v>1103</v>
      </c>
      <c r="D87" s="1327" t="n">
        <v>45979</v>
      </c>
      <c r="E87" s="1336" t="n">
        <v>120</v>
      </c>
    </row>
    <row r="88" customFormat="false" ht="14.25" hidden="false" customHeight="false" outlineLevel="0" collapsed="false">
      <c r="A88" s="1329"/>
      <c r="B88" s="1329"/>
      <c r="C88" s="1329"/>
      <c r="D88" s="1329"/>
      <c r="E88" s="1336"/>
    </row>
    <row r="89" customFormat="false" ht="14.25" hidden="false" customHeight="false" outlineLevel="0" collapsed="false">
      <c r="A89" s="1329"/>
      <c r="B89" s="1329"/>
      <c r="C89" s="1329"/>
      <c r="D89" s="1329"/>
      <c r="E89" s="1336"/>
    </row>
    <row r="90" customFormat="false" ht="14.25" hidden="false" customHeight="false" outlineLevel="0" collapsed="false">
      <c r="A90" s="1329"/>
      <c r="B90" s="1329"/>
      <c r="C90" s="1329"/>
      <c r="D90" s="1329"/>
      <c r="E90" s="1336"/>
    </row>
    <row r="91" customFormat="false" ht="14.25" hidden="false" customHeight="false" outlineLevel="0" collapsed="false">
      <c r="A91" s="1329"/>
      <c r="B91" s="1329"/>
      <c r="C91" s="1329"/>
      <c r="D91" s="1329"/>
      <c r="E91" s="1336"/>
    </row>
    <row r="92" customFormat="false" ht="14.25" hidden="false" customHeight="false" outlineLevel="0" collapsed="false">
      <c r="A92" s="1329"/>
      <c r="B92" s="1329"/>
      <c r="C92" s="1329"/>
      <c r="D92" s="1329"/>
      <c r="E92" s="1336"/>
    </row>
    <row r="93" customFormat="false" ht="14.25" hidden="false" customHeight="false" outlineLevel="0" collapsed="false">
      <c r="A93" s="1329"/>
      <c r="B93" s="1329"/>
      <c r="C93" s="1329"/>
      <c r="D93" s="1329"/>
      <c r="E93" s="1336"/>
    </row>
    <row r="94" customFormat="false" ht="14.25" hidden="false" customHeight="false" outlineLevel="0" collapsed="false">
      <c r="A94" s="1329"/>
      <c r="B94" s="1329"/>
      <c r="C94" s="1329"/>
      <c r="D94" s="1329"/>
      <c r="E94" s="1336"/>
    </row>
    <row r="95" customFormat="false" ht="14.25" hidden="false" customHeight="false" outlineLevel="0" collapsed="false">
      <c r="A95" s="1329"/>
      <c r="B95" s="1329"/>
      <c r="C95" s="1329"/>
      <c r="D95" s="1329"/>
      <c r="E95" s="1336"/>
    </row>
    <row r="96" customFormat="false" ht="14.25" hidden="false" customHeight="false" outlineLevel="0" collapsed="false">
      <c r="A96" s="1329"/>
      <c r="B96" s="1329"/>
      <c r="C96" s="1329"/>
      <c r="D96" s="1329"/>
      <c r="E96" s="1336"/>
    </row>
    <row r="97" customFormat="false" ht="14.25" hidden="false" customHeight="false" outlineLevel="0" collapsed="false">
      <c r="A97" s="1329"/>
      <c r="B97" s="1329"/>
      <c r="C97" s="1329"/>
      <c r="D97" s="1329"/>
      <c r="E97" s="1336"/>
    </row>
    <row r="98" customFormat="false" ht="14.25" hidden="false" customHeight="false" outlineLevel="0" collapsed="false">
      <c r="A98" s="1329"/>
      <c r="B98" s="1329"/>
      <c r="C98" s="1329"/>
      <c r="D98" s="1329"/>
      <c r="E98" s="1336"/>
    </row>
    <row r="99" customFormat="false" ht="14.25" hidden="false" customHeight="false" outlineLevel="0" collapsed="false">
      <c r="A99" s="1329"/>
      <c r="B99" s="1329"/>
      <c r="C99" s="1329"/>
      <c r="D99" s="1329"/>
      <c r="E99" s="1336"/>
    </row>
    <row r="100" customFormat="false" ht="14.25" hidden="false" customHeight="false" outlineLevel="0" collapsed="false">
      <c r="A100" s="1329" t="s">
        <v>970</v>
      </c>
      <c r="B100" s="1329"/>
      <c r="C100" s="1329"/>
      <c r="D100" s="1329"/>
      <c r="E100" s="1336" t="n">
        <f aca="false">SUM(E79:E99)</f>
        <v>1734.94</v>
      </c>
    </row>
  </sheetData>
  <mergeCells count="3">
    <mergeCell ref="A1:A2"/>
    <mergeCell ref="C1:C2"/>
    <mergeCell ref="D1:D2"/>
  </mergeCells>
  <conditionalFormatting sqref="D3:D35">
    <cfRule type="cellIs" priority="2" operator="lessThan" aboveAverage="0" equalAverage="0" bottom="0" percent="0" rank="0" text="" dxfId="64">
      <formula>0</formula>
    </cfRule>
  </conditionalFormatting>
  <dataValidations count="1">
    <dataValidation allowBlank="true" error="Enter a dollar amount." errorStyle="stop" operator="greaterThanOrEqual" showDropDown="false" showErrorMessage="true" showInputMessage="true" sqref="D3:D35" type="decimal">
      <formula1>-99999999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27</TotalTime>
  <Application>LibreOffice/26.2.1.2$Windows_X86_64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2019-12-30T23:32:23Z</dcterms:created>
  <dc:creator>Mazelle Attiya</dc:creator>
  <dc:description/>
  <dc:language>en-US</dc:language>
  <cp:lastModifiedBy/>
  <cp:lastPrinted>2024-01-31T19:43:46Z</cp:lastPrinted>
  <dcterms:modified xsi:type="dcterms:W3CDTF">2026-03-25T22:09:35Z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